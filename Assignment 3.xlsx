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us\Downloads\"/>
    </mc:Choice>
  </mc:AlternateContent>
  <xr:revisionPtr revIDLastSave="0" documentId="13_ncr:1_{C3F05B15-5A8F-4FAD-9297-EE6B87A55D2B}" xr6:coauthVersionLast="47" xr6:coauthVersionMax="47" xr10:uidLastSave="{00000000-0000-0000-0000-000000000000}"/>
  <bookViews>
    <workbookView xWindow="-108" yWindow="-108" windowWidth="23256" windowHeight="13896" activeTab="4" xr2:uid="{86A11887-9D08-48E6-8543-73F747144970}"/>
  </bookViews>
  <sheets>
    <sheet name="Restaurant Sales" sheetId="1" r:id="rId1"/>
    <sheet name="Exponential Forecasting" sheetId="2" r:id="rId2"/>
    <sheet name="Moving Average" sheetId="3" r:id="rId3"/>
    <sheet name="Regression" sheetId="4" r:id="rId4"/>
    <sheet name="SUMMARY" sheetId="5" r:id="rId5"/>
  </sheets>
  <definedNames>
    <definedName name="solver_adj" localSheetId="1" hidden="1">'Exponential Forecasting'!$J$4,'Exponential Forecasting'!$J$6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ng" localSheetId="4" hidden="1">1</definedName>
    <definedName name="solver_est" localSheetId="1" hidden="1">1</definedName>
    <definedName name="solver_itr" localSheetId="1" hidden="1">2147483647</definedName>
    <definedName name="solver_lhs1" localSheetId="1" hidden="1">'Exponential Forecasting'!$J$4</definedName>
    <definedName name="solver_lhs2" localSheetId="1" hidden="1">'Exponential Forecasting'!$J$4</definedName>
    <definedName name="solver_lhs3" localSheetId="1" hidden="1">'Exponential Forecasting'!$J$6</definedName>
    <definedName name="solver_lhs4" localSheetId="1" hidden="1">'Exponential Forecasting'!$J$6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eg" localSheetId="4" hidden="1">1</definedName>
    <definedName name="solver_nod" localSheetId="1" hidden="1">2147483647</definedName>
    <definedName name="solver_num" localSheetId="1" hidden="1">4</definedName>
    <definedName name="solver_num" localSheetId="4" hidden="1">0</definedName>
    <definedName name="solver_nwt" localSheetId="1" hidden="1">1</definedName>
    <definedName name="solver_opt" localSheetId="1" hidden="1">'Exponential Forecasting'!$N$125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hs1" localSheetId="1" hidden="1">0.99</definedName>
    <definedName name="solver_rhs2" localSheetId="1" hidden="1">0.01</definedName>
    <definedName name="solver_rhs3" localSheetId="1" hidden="1">0.99</definedName>
    <definedName name="solver_rhs4" localSheetId="1" hidden="1">0.01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typ" localSheetId="4" hidden="1">1</definedName>
    <definedName name="solver_val" localSheetId="1" hidden="1">0</definedName>
    <definedName name="solver_val" localSheetId="4" hidden="1">0</definedName>
    <definedName name="solver_ver" localSheetId="1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O125" i="2"/>
  <c r="N125" i="2"/>
  <c r="E20" i="1"/>
  <c r="F14" i="4"/>
  <c r="F15" i="4"/>
  <c r="F16" i="4"/>
  <c r="F17" i="4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13" i="4"/>
  <c r="H13" i="4" s="1"/>
  <c r="I113" i="3"/>
  <c r="I114" i="3"/>
  <c r="I115" i="3"/>
  <c r="I116" i="3"/>
  <c r="I117" i="3"/>
  <c r="I118" i="3"/>
  <c r="I119" i="3"/>
  <c r="I120" i="3"/>
  <c r="I121" i="3"/>
  <c r="I122" i="3"/>
  <c r="I123" i="3"/>
  <c r="I112" i="3"/>
  <c r="E113" i="3"/>
  <c r="E114" i="3"/>
  <c r="E115" i="3"/>
  <c r="E116" i="3"/>
  <c r="E117" i="3"/>
  <c r="E118" i="3"/>
  <c r="E119" i="3"/>
  <c r="E120" i="3"/>
  <c r="E121" i="3"/>
  <c r="E122" i="3"/>
  <c r="E123" i="3"/>
  <c r="E112" i="3"/>
  <c r="H14" i="4"/>
  <c r="H15" i="4"/>
  <c r="H16" i="4"/>
  <c r="H17" i="4"/>
  <c r="H18" i="4"/>
  <c r="H19" i="4"/>
  <c r="H20" i="4"/>
  <c r="H21" i="4"/>
  <c r="H22" i="4"/>
  <c r="H23" i="4"/>
  <c r="H24" i="4"/>
  <c r="G14" i="4"/>
  <c r="G15" i="4"/>
  <c r="G16" i="4"/>
  <c r="G17" i="4"/>
  <c r="G13" i="4"/>
  <c r="F5" i="4"/>
  <c r="F4" i="4"/>
  <c r="L125" i="3"/>
  <c r="K125" i="3"/>
  <c r="H125" i="3"/>
  <c r="G125" i="3"/>
  <c r="L113" i="3"/>
  <c r="L114" i="3"/>
  <c r="L115" i="3"/>
  <c r="L116" i="3"/>
  <c r="L117" i="3"/>
  <c r="L118" i="3"/>
  <c r="L119" i="3"/>
  <c r="L120" i="3"/>
  <c r="L121" i="3"/>
  <c r="L122" i="3"/>
  <c r="L123" i="3"/>
  <c r="L112" i="3"/>
  <c r="K113" i="3"/>
  <c r="K114" i="3"/>
  <c r="K115" i="3"/>
  <c r="K116" i="3"/>
  <c r="K117" i="3"/>
  <c r="K118" i="3"/>
  <c r="K119" i="3"/>
  <c r="K120" i="3"/>
  <c r="K121" i="3"/>
  <c r="K122" i="3"/>
  <c r="K123" i="3"/>
  <c r="K112" i="3"/>
  <c r="J113" i="3"/>
  <c r="J114" i="3"/>
  <c r="J115" i="3"/>
  <c r="J116" i="3"/>
  <c r="J117" i="3"/>
  <c r="J118" i="3"/>
  <c r="J119" i="3"/>
  <c r="J120" i="3"/>
  <c r="J121" i="3"/>
  <c r="J122" i="3"/>
  <c r="J123" i="3"/>
  <c r="J112" i="3"/>
  <c r="G113" i="3"/>
  <c r="G114" i="3"/>
  <c r="G115" i="3"/>
  <c r="G116" i="3"/>
  <c r="G117" i="3"/>
  <c r="G118" i="3"/>
  <c r="G119" i="3"/>
  <c r="G120" i="3"/>
  <c r="G121" i="3"/>
  <c r="G122" i="3"/>
  <c r="G123" i="3"/>
  <c r="H113" i="3"/>
  <c r="H114" i="3"/>
  <c r="H115" i="3"/>
  <c r="H116" i="3"/>
  <c r="H117" i="3"/>
  <c r="H118" i="3"/>
  <c r="H119" i="3"/>
  <c r="H120" i="3"/>
  <c r="H121" i="3"/>
  <c r="H122" i="3"/>
  <c r="H123" i="3"/>
  <c r="H112" i="3"/>
  <c r="G112" i="3"/>
  <c r="F113" i="3"/>
  <c r="F114" i="3"/>
  <c r="F115" i="3"/>
  <c r="F116" i="3"/>
  <c r="F117" i="3"/>
  <c r="F118" i="3"/>
  <c r="F119" i="3"/>
  <c r="F120" i="3"/>
  <c r="F121" i="3"/>
  <c r="F122" i="3"/>
  <c r="F123" i="3"/>
  <c r="F112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8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6" i="3"/>
  <c r="M113" i="1"/>
  <c r="M114" i="1"/>
  <c r="M115" i="1"/>
  <c r="M119" i="1"/>
  <c r="M120" i="1"/>
  <c r="L113" i="1"/>
  <c r="L114" i="1"/>
  <c r="L115" i="1"/>
  <c r="L119" i="1"/>
  <c r="L120" i="1"/>
  <c r="L121" i="1"/>
  <c r="M121" i="1" s="1"/>
  <c r="L122" i="1"/>
  <c r="M122" i="1" s="1"/>
  <c r="L123" i="1"/>
  <c r="M123" i="1" s="1"/>
  <c r="K112" i="1"/>
  <c r="K113" i="1"/>
  <c r="K114" i="1"/>
  <c r="K115" i="1"/>
  <c r="K116" i="1"/>
  <c r="K117" i="1"/>
  <c r="K118" i="1"/>
  <c r="K119" i="1"/>
  <c r="Q28" i="1" s="1"/>
  <c r="K120" i="1"/>
  <c r="Q29" i="1" s="1"/>
  <c r="K121" i="1"/>
  <c r="Q30" i="1" s="1"/>
  <c r="K122" i="1"/>
  <c r="Q31" i="1" s="1"/>
  <c r="K123" i="1"/>
  <c r="I113" i="1"/>
  <c r="J113" i="1" s="1"/>
  <c r="I114" i="1"/>
  <c r="J114" i="1" s="1"/>
  <c r="I115" i="1"/>
  <c r="J115" i="1" s="1"/>
  <c r="I116" i="1"/>
  <c r="J116" i="1" s="1"/>
  <c r="I121" i="1"/>
  <c r="J121" i="1" s="1"/>
  <c r="I122" i="1"/>
  <c r="J122" i="1" s="1"/>
  <c r="I123" i="1"/>
  <c r="J123" i="1" s="1"/>
  <c r="G112" i="1"/>
  <c r="G113" i="1"/>
  <c r="G114" i="1"/>
  <c r="G115" i="1"/>
  <c r="G116" i="1"/>
  <c r="G117" i="1"/>
  <c r="G118" i="1"/>
  <c r="G119" i="1"/>
  <c r="Q13" i="1" s="1"/>
  <c r="I119" i="1" s="1"/>
  <c r="J119" i="1" s="1"/>
  <c r="G120" i="1"/>
  <c r="Q14" i="1" s="1"/>
  <c r="I120" i="1" s="1"/>
  <c r="J120" i="1" s="1"/>
  <c r="G121" i="1"/>
  <c r="G122" i="1"/>
  <c r="G123" i="1"/>
  <c r="Q15" i="1"/>
  <c r="Q16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K4" i="2"/>
  <c r="L4" i="2"/>
  <c r="L5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G119" i="2" s="1"/>
  <c r="I81" i="1"/>
  <c r="J81" i="1" s="1"/>
  <c r="L15" i="1"/>
  <c r="M15" i="1" s="1"/>
  <c r="L16" i="1"/>
  <c r="M16" i="1" s="1"/>
  <c r="L17" i="1"/>
  <c r="M17" i="1" s="1"/>
  <c r="L31" i="1"/>
  <c r="M31" i="1" s="1"/>
  <c r="L43" i="1"/>
  <c r="M43" i="1" s="1"/>
  <c r="L64" i="1"/>
  <c r="M64" i="1" s="1"/>
  <c r="L65" i="1"/>
  <c r="M65" i="1" s="1"/>
  <c r="L75" i="1"/>
  <c r="M75" i="1" s="1"/>
  <c r="L76" i="1"/>
  <c r="M76" i="1" s="1"/>
  <c r="L78" i="1"/>
  <c r="M78" i="1" s="1"/>
  <c r="L91" i="1"/>
  <c r="M91" i="1" s="1"/>
  <c r="L6" i="1"/>
  <c r="M6" i="1" s="1"/>
  <c r="L4" i="1"/>
  <c r="M4" i="1" s="1"/>
  <c r="Q32" i="1"/>
  <c r="L51" i="1" s="1"/>
  <c r="M51" i="1" s="1"/>
  <c r="Q27" i="1"/>
  <c r="L34" i="1" s="1"/>
  <c r="M34" i="1" s="1"/>
  <c r="Q26" i="1"/>
  <c r="L21" i="1" s="1"/>
  <c r="M21" i="1" s="1"/>
  <c r="Q25" i="1"/>
  <c r="L20" i="1" s="1"/>
  <c r="M20" i="1" s="1"/>
  <c r="Q24" i="1"/>
  <c r="L19" i="1" s="1"/>
  <c r="M19" i="1" s="1"/>
  <c r="Q23" i="1"/>
  <c r="L18" i="1" s="1"/>
  <c r="M18" i="1" s="1"/>
  <c r="Q22" i="1"/>
  <c r="L41" i="1" s="1"/>
  <c r="M41" i="1" s="1"/>
  <c r="Q21" i="1"/>
  <c r="L52" i="1" s="1"/>
  <c r="M52" i="1" s="1"/>
  <c r="Q17" i="1"/>
  <c r="I27" i="1" s="1"/>
  <c r="J27" i="1" s="1"/>
  <c r="Q12" i="1"/>
  <c r="I10" i="1" s="1"/>
  <c r="J10" i="1" s="1"/>
  <c r="Q11" i="1"/>
  <c r="I45" i="1" s="1"/>
  <c r="J45" i="1" s="1"/>
  <c r="Q10" i="1"/>
  <c r="I8" i="1" s="1"/>
  <c r="J8" i="1" s="1"/>
  <c r="Q9" i="1"/>
  <c r="I79" i="1" s="1"/>
  <c r="J79" i="1" s="1"/>
  <c r="Q8" i="1"/>
  <c r="I42" i="1" s="1"/>
  <c r="J42" i="1" s="1"/>
  <c r="Q7" i="1"/>
  <c r="I41" i="1" s="1"/>
  <c r="J41" i="1" s="1"/>
  <c r="Q6" i="1"/>
  <c r="I40" i="1" s="1"/>
  <c r="J40" i="1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4" i="1"/>
  <c r="E10" i="1"/>
  <c r="E11" i="1"/>
  <c r="E12" i="1"/>
  <c r="E13" i="1"/>
  <c r="E14" i="1"/>
  <c r="E15" i="1"/>
  <c r="E16" i="1"/>
  <c r="E17" i="1"/>
  <c r="E18" i="1"/>
  <c r="E19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5" i="1"/>
  <c r="E6" i="1"/>
  <c r="E7" i="1"/>
  <c r="E8" i="1"/>
  <c r="E9" i="1"/>
  <c r="E4" i="1"/>
  <c r="H4" i="1"/>
  <c r="F4" i="1"/>
  <c r="L58" i="1" l="1"/>
  <c r="M58" i="1" s="1"/>
  <c r="L118" i="1"/>
  <c r="M118" i="1" s="1"/>
  <c r="L44" i="1"/>
  <c r="M44" i="1" s="1"/>
  <c r="L32" i="1"/>
  <c r="M32" i="1" s="1"/>
  <c r="L112" i="1"/>
  <c r="M112" i="1" s="1"/>
  <c r="L10" i="1"/>
  <c r="M10" i="1" s="1"/>
  <c r="I77" i="1"/>
  <c r="J77" i="1" s="1"/>
  <c r="L111" i="1"/>
  <c r="M111" i="1" s="1"/>
  <c r="I64" i="1"/>
  <c r="J64" i="1" s="1"/>
  <c r="L106" i="1"/>
  <c r="M106" i="1" s="1"/>
  <c r="I28" i="1"/>
  <c r="J28" i="1" s="1"/>
  <c r="L117" i="1"/>
  <c r="M117" i="1" s="1"/>
  <c r="L105" i="1"/>
  <c r="M105" i="1" s="1"/>
  <c r="I17" i="1"/>
  <c r="J17" i="1" s="1"/>
  <c r="L116" i="1"/>
  <c r="M116" i="1" s="1"/>
  <c r="L94" i="1"/>
  <c r="M94" i="1" s="1"/>
  <c r="L93" i="1"/>
  <c r="M93" i="1" s="1"/>
  <c r="L81" i="1"/>
  <c r="M81" i="1" s="1"/>
  <c r="L30" i="1"/>
  <c r="M30" i="1" s="1"/>
  <c r="I112" i="1"/>
  <c r="J112" i="1" s="1"/>
  <c r="L63" i="1"/>
  <c r="M63" i="1" s="1"/>
  <c r="L92" i="1"/>
  <c r="M92" i="1" s="1"/>
  <c r="L80" i="1"/>
  <c r="M80" i="1" s="1"/>
  <c r="L28" i="1"/>
  <c r="M28" i="1" s="1"/>
  <c r="I118" i="1"/>
  <c r="J118" i="1" s="1"/>
  <c r="L46" i="1"/>
  <c r="M46" i="1" s="1"/>
  <c r="L33" i="1"/>
  <c r="M33" i="1" s="1"/>
  <c r="L79" i="1"/>
  <c r="M79" i="1" s="1"/>
  <c r="L27" i="1"/>
  <c r="M27" i="1" s="1"/>
  <c r="I117" i="1"/>
  <c r="J117" i="1" s="1"/>
  <c r="H119" i="2"/>
  <c r="I119" i="2"/>
  <c r="G117" i="2"/>
  <c r="G113" i="2"/>
  <c r="G122" i="2"/>
  <c r="G115" i="2"/>
  <c r="G114" i="2"/>
  <c r="G121" i="2"/>
  <c r="G112" i="2"/>
  <c r="G123" i="2"/>
  <c r="G120" i="2"/>
  <c r="G118" i="2"/>
  <c r="G116" i="2"/>
  <c r="H26" i="4"/>
  <c r="G26" i="4"/>
  <c r="L50" i="1"/>
  <c r="M50" i="1" s="1"/>
  <c r="L98" i="1"/>
  <c r="M98" i="1" s="1"/>
  <c r="L62" i="1"/>
  <c r="M62" i="1" s="1"/>
  <c r="L26" i="1"/>
  <c r="M26" i="1" s="1"/>
  <c r="L38" i="1"/>
  <c r="M38" i="1" s="1"/>
  <c r="L86" i="1"/>
  <c r="M86" i="1" s="1"/>
  <c r="L74" i="1"/>
  <c r="M74" i="1" s="1"/>
  <c r="L14" i="1"/>
  <c r="M14" i="1" s="1"/>
  <c r="L110" i="1"/>
  <c r="M110" i="1" s="1"/>
  <c r="L36" i="1"/>
  <c r="M36" i="1" s="1"/>
  <c r="L84" i="1"/>
  <c r="M84" i="1" s="1"/>
  <c r="L12" i="1"/>
  <c r="M12" i="1" s="1"/>
  <c r="L108" i="1"/>
  <c r="M108" i="1" s="1"/>
  <c r="L60" i="1"/>
  <c r="M60" i="1" s="1"/>
  <c r="L96" i="1"/>
  <c r="M96" i="1" s="1"/>
  <c r="L48" i="1"/>
  <c r="M48" i="1" s="1"/>
  <c r="L24" i="1"/>
  <c r="M24" i="1" s="1"/>
  <c r="L72" i="1"/>
  <c r="M72" i="1" s="1"/>
  <c r="L25" i="1"/>
  <c r="M25" i="1" s="1"/>
  <c r="L73" i="1"/>
  <c r="M73" i="1" s="1"/>
  <c r="L49" i="1"/>
  <c r="M49" i="1" s="1"/>
  <c r="L37" i="1"/>
  <c r="M37" i="1" s="1"/>
  <c r="L85" i="1"/>
  <c r="M85" i="1" s="1"/>
  <c r="L97" i="1"/>
  <c r="M97" i="1" s="1"/>
  <c r="L13" i="1"/>
  <c r="M13" i="1" s="1"/>
  <c r="L61" i="1"/>
  <c r="M61" i="1" s="1"/>
  <c r="L109" i="1"/>
  <c r="M109" i="1" s="1"/>
  <c r="L59" i="1"/>
  <c r="M59" i="1" s="1"/>
  <c r="L35" i="1"/>
  <c r="M35" i="1" s="1"/>
  <c r="L83" i="1"/>
  <c r="M83" i="1" s="1"/>
  <c r="L95" i="1"/>
  <c r="M95" i="1" s="1"/>
  <c r="L11" i="1"/>
  <c r="M11" i="1" s="1"/>
  <c r="L23" i="1"/>
  <c r="M23" i="1" s="1"/>
  <c r="L71" i="1"/>
  <c r="M71" i="1" s="1"/>
  <c r="L107" i="1"/>
  <c r="M107" i="1" s="1"/>
  <c r="L47" i="1"/>
  <c r="M47" i="1" s="1"/>
  <c r="L77" i="1"/>
  <c r="M77" i="1" s="1"/>
  <c r="L45" i="1"/>
  <c r="M45" i="1" s="1"/>
  <c r="L29" i="1"/>
  <c r="M29" i="1" s="1"/>
  <c r="L104" i="1"/>
  <c r="M104" i="1" s="1"/>
  <c r="L88" i="1"/>
  <c r="M88" i="1" s="1"/>
  <c r="L56" i="1"/>
  <c r="M56" i="1" s="1"/>
  <c r="L40" i="1"/>
  <c r="M40" i="1" s="1"/>
  <c r="L8" i="1"/>
  <c r="M8" i="1" s="1"/>
  <c r="L42" i="1"/>
  <c r="M42" i="1" s="1"/>
  <c r="L103" i="1"/>
  <c r="M103" i="1" s="1"/>
  <c r="L87" i="1"/>
  <c r="M87" i="1" s="1"/>
  <c r="L55" i="1"/>
  <c r="M55" i="1" s="1"/>
  <c r="L39" i="1"/>
  <c r="M39" i="1" s="1"/>
  <c r="L7" i="1"/>
  <c r="M7" i="1" s="1"/>
  <c r="L57" i="1"/>
  <c r="M57" i="1" s="1"/>
  <c r="L9" i="1"/>
  <c r="M9" i="1" s="1"/>
  <c r="L102" i="1"/>
  <c r="M102" i="1" s="1"/>
  <c r="L70" i="1"/>
  <c r="M70" i="1" s="1"/>
  <c r="L54" i="1"/>
  <c r="M54" i="1" s="1"/>
  <c r="L22" i="1"/>
  <c r="M22" i="1" s="1"/>
  <c r="L5" i="1"/>
  <c r="M5" i="1" s="1"/>
  <c r="L101" i="1"/>
  <c r="M101" i="1" s="1"/>
  <c r="L69" i="1"/>
  <c r="M69" i="1" s="1"/>
  <c r="L53" i="1"/>
  <c r="M53" i="1" s="1"/>
  <c r="L89" i="1"/>
  <c r="M89" i="1" s="1"/>
  <c r="L100" i="1"/>
  <c r="M100" i="1" s="1"/>
  <c r="L68" i="1"/>
  <c r="M68" i="1" s="1"/>
  <c r="L99" i="1"/>
  <c r="M99" i="1" s="1"/>
  <c r="L67" i="1"/>
  <c r="M67" i="1" s="1"/>
  <c r="L90" i="1"/>
  <c r="M90" i="1" s="1"/>
  <c r="L82" i="1"/>
  <c r="M82" i="1" s="1"/>
  <c r="L66" i="1"/>
  <c r="M66" i="1" s="1"/>
  <c r="I34" i="1"/>
  <c r="J34" i="1" s="1"/>
  <c r="I29" i="1"/>
  <c r="J29" i="1" s="1"/>
  <c r="I87" i="1"/>
  <c r="J87" i="1" s="1"/>
  <c r="I82" i="1"/>
  <c r="J82" i="1" s="1"/>
  <c r="I4" i="1"/>
  <c r="I16" i="1"/>
  <c r="J16" i="1" s="1"/>
  <c r="I111" i="1"/>
  <c r="J111" i="1" s="1"/>
  <c r="I15" i="1"/>
  <c r="J15" i="1" s="1"/>
  <c r="I76" i="1"/>
  <c r="J76" i="1" s="1"/>
  <c r="I65" i="1"/>
  <c r="J65" i="1" s="1"/>
  <c r="I63" i="1"/>
  <c r="J63" i="1" s="1"/>
  <c r="I39" i="1"/>
  <c r="J39" i="1" s="1"/>
  <c r="I33" i="1"/>
  <c r="J33" i="1" s="1"/>
  <c r="I24" i="1"/>
  <c r="J24" i="1" s="1"/>
  <c r="I72" i="1"/>
  <c r="J72" i="1" s="1"/>
  <c r="I12" i="1"/>
  <c r="J12" i="1" s="1"/>
  <c r="I60" i="1"/>
  <c r="J60" i="1" s="1"/>
  <c r="I108" i="1"/>
  <c r="J108" i="1" s="1"/>
  <c r="I96" i="1"/>
  <c r="J96" i="1" s="1"/>
  <c r="I36" i="1"/>
  <c r="J36" i="1" s="1"/>
  <c r="I84" i="1"/>
  <c r="J84" i="1" s="1"/>
  <c r="I48" i="1"/>
  <c r="J48" i="1" s="1"/>
  <c r="I26" i="1"/>
  <c r="J26" i="1" s="1"/>
  <c r="I74" i="1"/>
  <c r="J74" i="1" s="1"/>
  <c r="I50" i="1"/>
  <c r="J50" i="1" s="1"/>
  <c r="I14" i="1"/>
  <c r="J14" i="1" s="1"/>
  <c r="I62" i="1"/>
  <c r="J62" i="1" s="1"/>
  <c r="I110" i="1"/>
  <c r="J110" i="1" s="1"/>
  <c r="I38" i="1"/>
  <c r="J38" i="1" s="1"/>
  <c r="I86" i="1"/>
  <c r="J86" i="1" s="1"/>
  <c r="I98" i="1"/>
  <c r="J98" i="1" s="1"/>
  <c r="I25" i="1"/>
  <c r="J25" i="1" s="1"/>
  <c r="I73" i="1"/>
  <c r="J73" i="1" s="1"/>
  <c r="I61" i="1"/>
  <c r="J61" i="1" s="1"/>
  <c r="I109" i="1"/>
  <c r="J109" i="1" s="1"/>
  <c r="I13" i="1"/>
  <c r="J13" i="1" s="1"/>
  <c r="I49" i="1"/>
  <c r="J49" i="1" s="1"/>
  <c r="I97" i="1"/>
  <c r="J97" i="1" s="1"/>
  <c r="I37" i="1"/>
  <c r="J37" i="1" s="1"/>
  <c r="I85" i="1"/>
  <c r="J85" i="1" s="1"/>
  <c r="I47" i="1"/>
  <c r="J47" i="1" s="1"/>
  <c r="I11" i="1"/>
  <c r="J11" i="1" s="1"/>
  <c r="I59" i="1"/>
  <c r="J59" i="1" s="1"/>
  <c r="I107" i="1"/>
  <c r="J107" i="1" s="1"/>
  <c r="I35" i="1"/>
  <c r="J35" i="1" s="1"/>
  <c r="I83" i="1"/>
  <c r="J83" i="1" s="1"/>
  <c r="I23" i="1"/>
  <c r="J23" i="1" s="1"/>
  <c r="I71" i="1"/>
  <c r="J71" i="1" s="1"/>
  <c r="I95" i="1"/>
  <c r="J95" i="1" s="1"/>
  <c r="I31" i="1"/>
  <c r="J31" i="1" s="1"/>
  <c r="I7" i="1"/>
  <c r="J7" i="1" s="1"/>
  <c r="I78" i="1"/>
  <c r="J78" i="1" s="1"/>
  <c r="I102" i="1"/>
  <c r="J102" i="1" s="1"/>
  <c r="I70" i="1"/>
  <c r="J70" i="1" s="1"/>
  <c r="I54" i="1"/>
  <c r="J54" i="1" s="1"/>
  <c r="I22" i="1"/>
  <c r="J22" i="1" s="1"/>
  <c r="I6" i="1"/>
  <c r="J6" i="1" s="1"/>
  <c r="I101" i="1"/>
  <c r="J101" i="1" s="1"/>
  <c r="I69" i="1"/>
  <c r="J69" i="1" s="1"/>
  <c r="I53" i="1"/>
  <c r="J53" i="1" s="1"/>
  <c r="I21" i="1"/>
  <c r="J21" i="1" s="1"/>
  <c r="I5" i="1"/>
  <c r="J5" i="1" s="1"/>
  <c r="I100" i="1"/>
  <c r="J100" i="1" s="1"/>
  <c r="I68" i="1"/>
  <c r="J68" i="1" s="1"/>
  <c r="I52" i="1"/>
  <c r="J52" i="1" s="1"/>
  <c r="I20" i="1"/>
  <c r="J20" i="1" s="1"/>
  <c r="I66" i="1"/>
  <c r="J66" i="1" s="1"/>
  <c r="I94" i="1"/>
  <c r="J94" i="1" s="1"/>
  <c r="I103" i="1"/>
  <c r="J103" i="1" s="1"/>
  <c r="I55" i="1"/>
  <c r="J55" i="1" s="1"/>
  <c r="I99" i="1"/>
  <c r="J99" i="1" s="1"/>
  <c r="I67" i="1"/>
  <c r="J67" i="1" s="1"/>
  <c r="I51" i="1"/>
  <c r="J51" i="1" s="1"/>
  <c r="I19" i="1"/>
  <c r="J19" i="1" s="1"/>
  <c r="I18" i="1"/>
  <c r="J18" i="1" s="1"/>
  <c r="I93" i="1"/>
  <c r="J93" i="1" s="1"/>
  <c r="I91" i="1"/>
  <c r="J91" i="1" s="1"/>
  <c r="I75" i="1"/>
  <c r="J75" i="1" s="1"/>
  <c r="I43" i="1"/>
  <c r="J43" i="1" s="1"/>
  <c r="I32" i="1"/>
  <c r="J32" i="1" s="1"/>
  <c r="I46" i="1"/>
  <c r="J46" i="1" s="1"/>
  <c r="I30" i="1"/>
  <c r="J30" i="1" s="1"/>
  <c r="I92" i="1"/>
  <c r="J92" i="1" s="1"/>
  <c r="I44" i="1"/>
  <c r="J44" i="1" s="1"/>
  <c r="I106" i="1"/>
  <c r="J106" i="1" s="1"/>
  <c r="I90" i="1"/>
  <c r="J90" i="1" s="1"/>
  <c r="I58" i="1"/>
  <c r="J58" i="1" s="1"/>
  <c r="I105" i="1"/>
  <c r="J105" i="1" s="1"/>
  <c r="I89" i="1"/>
  <c r="J89" i="1" s="1"/>
  <c r="I57" i="1"/>
  <c r="J57" i="1" s="1"/>
  <c r="I9" i="1"/>
  <c r="J9" i="1" s="1"/>
  <c r="I80" i="1"/>
  <c r="J80" i="1" s="1"/>
  <c r="I104" i="1"/>
  <c r="J104" i="1" s="1"/>
  <c r="I88" i="1"/>
  <c r="J88" i="1" s="1"/>
  <c r="I56" i="1"/>
  <c r="J56" i="1" s="1"/>
  <c r="K5" i="2"/>
  <c r="L6" i="2" s="1"/>
  <c r="I122" i="2" l="1"/>
  <c r="H122" i="2"/>
  <c r="I113" i="2"/>
  <c r="H113" i="2"/>
  <c r="H116" i="2"/>
  <c r="I116" i="2"/>
  <c r="H120" i="2"/>
  <c r="I120" i="2"/>
  <c r="H112" i="2"/>
  <c r="I112" i="2"/>
  <c r="I114" i="2"/>
  <c r="H114" i="2"/>
  <c r="H118" i="2"/>
  <c r="I118" i="2"/>
  <c r="I123" i="2"/>
  <c r="H123" i="2"/>
  <c r="I121" i="2"/>
  <c r="H121" i="2"/>
  <c r="H115" i="2"/>
  <c r="I115" i="2"/>
  <c r="H117" i="2"/>
  <c r="I117" i="2"/>
  <c r="K6" i="2"/>
  <c r="L7" i="2" s="1"/>
  <c r="H125" i="2" l="1"/>
  <c r="I125" i="2"/>
  <c r="K7" i="2"/>
  <c r="L8" i="2" s="1"/>
  <c r="K8" i="2" l="1"/>
  <c r="L9" i="2" s="1"/>
  <c r="K9" i="2" l="1"/>
  <c r="L10" i="2" s="1"/>
  <c r="K10" i="2" l="1"/>
  <c r="L11" i="2" s="1"/>
  <c r="K11" i="2" l="1"/>
  <c r="L12" i="2" s="1"/>
  <c r="K12" i="2" s="1"/>
  <c r="L13" i="2" s="1"/>
  <c r="K13" i="2" s="1"/>
  <c r="L14" i="2" s="1"/>
  <c r="K14" i="2" l="1"/>
  <c r="L15" i="2" s="1"/>
  <c r="K15" i="2" l="1"/>
  <c r="L16" i="2" s="1"/>
  <c r="K16" i="2" l="1"/>
  <c r="L17" i="2" s="1"/>
  <c r="K17" i="2" l="1"/>
  <c r="L18" i="2" s="1"/>
  <c r="K18" i="2" l="1"/>
  <c r="L19" i="2" s="1"/>
  <c r="K19" i="2" l="1"/>
  <c r="L20" i="2" s="1"/>
  <c r="K20" i="2" l="1"/>
  <c r="L21" i="2" s="1"/>
  <c r="K21" i="2" l="1"/>
  <c r="L22" i="2" s="1"/>
  <c r="K22" i="2" l="1"/>
  <c r="L23" i="2" s="1"/>
  <c r="K23" i="2" l="1"/>
  <c r="L24" i="2" s="1"/>
  <c r="K24" i="2" l="1"/>
  <c r="L25" i="2" s="1"/>
  <c r="K25" i="2" l="1"/>
  <c r="L26" i="2" s="1"/>
  <c r="K26" i="2" l="1"/>
  <c r="L27" i="2" s="1"/>
  <c r="K27" i="2" l="1"/>
  <c r="L28" i="2" s="1"/>
  <c r="K28" i="2" l="1"/>
  <c r="L29" i="2" s="1"/>
  <c r="K29" i="2" l="1"/>
  <c r="L30" i="2" s="1"/>
  <c r="K30" i="2" l="1"/>
  <c r="L31" i="2" s="1"/>
  <c r="K31" i="2" l="1"/>
  <c r="L32" i="2" s="1"/>
  <c r="K32" i="2" l="1"/>
  <c r="L33" i="2" s="1"/>
  <c r="K33" i="2" l="1"/>
  <c r="L34" i="2" s="1"/>
  <c r="K34" i="2" l="1"/>
  <c r="L35" i="2" s="1"/>
  <c r="K35" i="2" l="1"/>
  <c r="L36" i="2" s="1"/>
  <c r="K36" i="2" l="1"/>
  <c r="L37" i="2" s="1"/>
  <c r="K37" i="2" l="1"/>
  <c r="L38" i="2" s="1"/>
  <c r="K38" i="2" l="1"/>
  <c r="L39" i="2" s="1"/>
  <c r="K39" i="2" l="1"/>
  <c r="L40" i="2" s="1"/>
  <c r="K40" i="2" l="1"/>
  <c r="L41" i="2" s="1"/>
  <c r="K41" i="2" l="1"/>
  <c r="L42" i="2" s="1"/>
  <c r="K42" i="2" l="1"/>
  <c r="L43" i="2" s="1"/>
  <c r="K43" i="2" l="1"/>
  <c r="L44" i="2" s="1"/>
  <c r="K44" i="2" l="1"/>
  <c r="L45" i="2" s="1"/>
  <c r="K45" i="2" l="1"/>
  <c r="L46" i="2" s="1"/>
  <c r="K46" i="2" l="1"/>
  <c r="L47" i="2" s="1"/>
  <c r="K47" i="2" l="1"/>
  <c r="L48" i="2" s="1"/>
  <c r="K48" i="2" l="1"/>
  <c r="L49" i="2" s="1"/>
  <c r="K49" i="2" l="1"/>
  <c r="L50" i="2" s="1"/>
  <c r="K50" i="2" l="1"/>
  <c r="L51" i="2" s="1"/>
  <c r="K51" i="2" l="1"/>
  <c r="L52" i="2" s="1"/>
  <c r="K52" i="2" l="1"/>
  <c r="L53" i="2" s="1"/>
  <c r="K53" i="2" l="1"/>
  <c r="L54" i="2" s="1"/>
  <c r="K54" i="2" l="1"/>
  <c r="L55" i="2" s="1"/>
  <c r="K55" i="2" l="1"/>
  <c r="L56" i="2" s="1"/>
  <c r="K56" i="2" l="1"/>
  <c r="L57" i="2" s="1"/>
  <c r="K57" i="2" l="1"/>
  <c r="L58" i="2" s="1"/>
  <c r="K58" i="2" l="1"/>
  <c r="L59" i="2" s="1"/>
  <c r="K59" i="2" l="1"/>
  <c r="L60" i="2" s="1"/>
  <c r="K60" i="2" l="1"/>
  <c r="L61" i="2" s="1"/>
  <c r="K61" i="2" l="1"/>
  <c r="L62" i="2" s="1"/>
  <c r="K62" i="2" l="1"/>
  <c r="L63" i="2" s="1"/>
  <c r="K63" i="2" l="1"/>
  <c r="L64" i="2" s="1"/>
  <c r="K64" i="2" l="1"/>
  <c r="L65" i="2" s="1"/>
  <c r="K65" i="2" l="1"/>
  <c r="L66" i="2" s="1"/>
  <c r="K66" i="2" l="1"/>
  <c r="L67" i="2" s="1"/>
  <c r="K67" i="2" l="1"/>
  <c r="L68" i="2" s="1"/>
  <c r="K68" i="2" l="1"/>
  <c r="L69" i="2" s="1"/>
  <c r="K69" i="2" l="1"/>
  <c r="L70" i="2" s="1"/>
  <c r="K70" i="2" l="1"/>
  <c r="L71" i="2" s="1"/>
  <c r="K71" i="2" l="1"/>
  <c r="L72" i="2" s="1"/>
  <c r="K72" i="2" l="1"/>
  <c r="L73" i="2" s="1"/>
  <c r="K73" i="2" l="1"/>
  <c r="L74" i="2" s="1"/>
  <c r="K74" i="2" l="1"/>
  <c r="L75" i="2" s="1"/>
  <c r="K75" i="2" l="1"/>
  <c r="L76" i="2" s="1"/>
  <c r="K76" i="2" l="1"/>
  <c r="L77" i="2" s="1"/>
  <c r="K77" i="2" l="1"/>
  <c r="L78" i="2" s="1"/>
  <c r="K78" i="2" l="1"/>
  <c r="L79" i="2" s="1"/>
  <c r="K79" i="2" l="1"/>
  <c r="L80" i="2" s="1"/>
  <c r="K80" i="2" l="1"/>
  <c r="L81" i="2" s="1"/>
  <c r="K81" i="2" l="1"/>
  <c r="L82" i="2" s="1"/>
  <c r="K82" i="2" l="1"/>
  <c r="L83" i="2" s="1"/>
  <c r="K83" i="2" l="1"/>
  <c r="L84" i="2" s="1"/>
  <c r="K84" i="2" l="1"/>
  <c r="L85" i="2" s="1"/>
  <c r="K85" i="2" l="1"/>
  <c r="L86" i="2" s="1"/>
  <c r="K86" i="2" l="1"/>
  <c r="L87" i="2" s="1"/>
  <c r="K87" i="2" l="1"/>
  <c r="L88" i="2" s="1"/>
  <c r="K88" i="2" l="1"/>
  <c r="L89" i="2" s="1"/>
  <c r="K89" i="2" l="1"/>
  <c r="L90" i="2" s="1"/>
  <c r="K90" i="2" l="1"/>
  <c r="L91" i="2" s="1"/>
  <c r="K91" i="2" l="1"/>
  <c r="L92" i="2" s="1"/>
  <c r="K92" i="2" l="1"/>
  <c r="L93" i="2" s="1"/>
  <c r="K93" i="2" l="1"/>
  <c r="L94" i="2" s="1"/>
  <c r="K94" i="2" l="1"/>
  <c r="L95" i="2" s="1"/>
  <c r="K95" i="2" l="1"/>
  <c r="L96" i="2" s="1"/>
  <c r="K96" i="2" l="1"/>
  <c r="L97" i="2" s="1"/>
  <c r="K97" i="2" l="1"/>
  <c r="L98" i="2" s="1"/>
  <c r="K98" i="2" l="1"/>
  <c r="L99" i="2" s="1"/>
  <c r="K99" i="2" l="1"/>
  <c r="L100" i="2" s="1"/>
  <c r="K100" i="2" l="1"/>
  <c r="L101" i="2" s="1"/>
  <c r="K101" i="2" l="1"/>
  <c r="L102" i="2" s="1"/>
  <c r="K102" i="2" l="1"/>
  <c r="L103" i="2" s="1"/>
  <c r="K103" i="2" l="1"/>
  <c r="L104" i="2" s="1"/>
  <c r="K104" i="2" l="1"/>
  <c r="L105" i="2" s="1"/>
  <c r="K105" i="2" l="1"/>
  <c r="L106" i="2" s="1"/>
  <c r="K106" i="2" l="1"/>
  <c r="L107" i="2" s="1"/>
  <c r="K107" i="2" l="1"/>
  <c r="L108" i="2" s="1"/>
  <c r="K108" i="2" l="1"/>
  <c r="L109" i="2" s="1"/>
  <c r="K109" i="2" l="1"/>
  <c r="L110" i="2" s="1"/>
  <c r="K110" i="2" l="1"/>
  <c r="L111" i="2" s="1"/>
  <c r="K111" i="2" l="1"/>
  <c r="M123" i="2" s="1"/>
  <c r="M112" i="2" l="1"/>
  <c r="O112" i="2" s="1"/>
  <c r="M113" i="2"/>
  <c r="N113" i="2" s="1"/>
  <c r="M114" i="2"/>
  <c r="O114" i="2" s="1"/>
  <c r="M115" i="2"/>
  <c r="O115" i="2" s="1"/>
  <c r="M116" i="2"/>
  <c r="N116" i="2" s="1"/>
  <c r="M118" i="2"/>
  <c r="N118" i="2" s="1"/>
  <c r="M119" i="2"/>
  <c r="O119" i="2" s="1"/>
  <c r="M120" i="2"/>
  <c r="O120" i="2" s="1"/>
  <c r="M117" i="2"/>
  <c r="O117" i="2" s="1"/>
  <c r="M121" i="2"/>
  <c r="N121" i="2" s="1"/>
  <c r="M122" i="2"/>
  <c r="O122" i="2" s="1"/>
  <c r="O123" i="2"/>
  <c r="N123" i="2"/>
  <c r="N112" i="2" l="1"/>
  <c r="O121" i="2"/>
  <c r="N120" i="2"/>
  <c r="O118" i="2"/>
  <c r="O113" i="2"/>
  <c r="N122" i="2"/>
  <c r="N117" i="2"/>
  <c r="N119" i="2"/>
  <c r="N114" i="2"/>
  <c r="N115" i="2"/>
  <c r="O116" i="2"/>
</calcChain>
</file>

<file path=xl/sharedStrings.xml><?xml version="1.0" encoding="utf-8"?>
<sst xmlns="http://schemas.openxmlformats.org/spreadsheetml/2006/main" count="614" uniqueCount="59">
  <si>
    <t>Retail Sales: Restaurants and Other Eating Places</t>
  </si>
  <si>
    <t>Period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</si>
  <si>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</si>
  <si>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</si>
  <si>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</si>
  <si>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</si>
  <si>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</si>
  <si>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</si>
  <si>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</si>
  <si>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</si>
  <si>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</si>
  <si>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</si>
  <si>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</si>
  <si>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</si>
  <si>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</si>
  <si>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ALY 6050 Project 3 Time Series Forecasting</t>
  </si>
  <si>
    <t>Date</t>
  </si>
  <si>
    <t>Value</t>
  </si>
  <si>
    <t>Slope</t>
  </si>
  <si>
    <t>Intercept</t>
  </si>
  <si>
    <t>Trend</t>
  </si>
  <si>
    <t>S * I</t>
  </si>
  <si>
    <t>S+I</t>
  </si>
  <si>
    <t>S</t>
  </si>
  <si>
    <t>S * T</t>
  </si>
  <si>
    <t>S+T</t>
  </si>
  <si>
    <t>Seasonal Average (Multiplicative)</t>
  </si>
  <si>
    <t>Seasonal Average (Additive)</t>
  </si>
  <si>
    <t>Alpha</t>
  </si>
  <si>
    <t>F(T)</t>
  </si>
  <si>
    <t>Value A(T)</t>
  </si>
  <si>
    <t>Simple Exponential Smoothing</t>
  </si>
  <si>
    <t>Double Exponential Smoothing</t>
  </si>
  <si>
    <t>MAPE</t>
  </si>
  <si>
    <t>RMSE</t>
  </si>
  <si>
    <t>Average</t>
  </si>
  <si>
    <t>Beta</t>
  </si>
  <si>
    <t>Forecast</t>
  </si>
  <si>
    <t>Trend (T(t))</t>
  </si>
  <si>
    <t>Level L(t)</t>
  </si>
  <si>
    <t>Results</t>
  </si>
  <si>
    <t>Simple</t>
  </si>
  <si>
    <t>Double</t>
  </si>
  <si>
    <t>Simple with Solver</t>
  </si>
  <si>
    <t>Double with Solver</t>
  </si>
  <si>
    <t>NA</t>
  </si>
  <si>
    <t>12 Month Moving Average</t>
  </si>
  <si>
    <t>4 Month Weighted Average</t>
  </si>
  <si>
    <t>Trend Line</t>
  </si>
  <si>
    <t>X</t>
  </si>
  <si>
    <t>SLOPE</t>
  </si>
  <si>
    <t>INTERCEPT</t>
  </si>
  <si>
    <t xml:space="preserve">METHOD </t>
  </si>
  <si>
    <t>Simple Exponential (α=0.7)</t>
  </si>
  <si>
    <t>4 Month Weighted Moving average</t>
  </si>
  <si>
    <t>Regression</t>
  </si>
  <si>
    <t>Simple Exponential with Solver</t>
  </si>
  <si>
    <t>Double Exponential with solver</t>
  </si>
  <si>
    <r>
      <t xml:space="preserve">Double Exponential (α=0.7 </t>
    </r>
    <r>
      <rPr>
        <sz val="11"/>
        <color theme="1"/>
        <rFont val="Aptos Narrow"/>
        <family val="2"/>
      </rPr>
      <t>β=0.4)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</si>
</sst>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1"/>
      <color rgb="FF836967"/>
      <name val="Cambria Math"/>
      <family val="1"/>
    </font>
    <font>
      <sz val="18"/>
      <color rgb="FF836967"/>
      <name val="Cambria Math"/>
      <family val="1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45066682943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/>
    <xf numFmtId="0" fontId="0" fillId="6" borderId="0" xfId="0" applyFill="1"/>
    <xf numFmtId="0" fontId="0" fillId="6" borderId="2" xfId="0" applyFill="1" applyBorder="1"/>
    <xf numFmtId="0" fontId="0" fillId="2" borderId="2" xfId="0" applyFill="1" applyBorder="1"/>
    <xf numFmtId="0" fontId="0" fillId="4" borderId="2" xfId="0" applyFill="1" applyBorder="1"/>
    <xf numFmtId="0" fontId="1" fillId="4" borderId="3" xfId="0" applyFont="1" applyFill="1" applyBorder="1"/>
    <xf numFmtId="0" fontId="0" fillId="0" borderId="2" xfId="0" applyBorder="1"/>
    <xf numFmtId="0" fontId="5" fillId="0" borderId="0" xfId="0" applyFont="1"/>
    <xf numFmtId="164" fontId="0" fillId="2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  <xf numFmtId="164" fontId="0" fillId="6" borderId="2" xfId="0" applyNumberFormat="1" applyFill="1" applyBorder="1"/>
    <xf numFmtId="164" fontId="1" fillId="4" borderId="2" xfId="0" applyNumberFormat="1" applyFont="1" applyFill="1" applyBorder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2" fillId="2" borderId="1" xfId="0" applyFont="1" applyFill="1" applyBorder="1"/>
    <xf numFmtId="0" fontId="3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2" borderId="7" xfId="0" applyFont="1" applyFill="1" applyBorder="1"/>
    <xf numFmtId="0" fontId="3" fillId="0" borderId="8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0" borderId="11" xfId="0" applyFont="1" applyBorder="1"/>
    <xf numFmtId="0" fontId="2" fillId="0" borderId="0" xfId="0" applyFont="1"/>
    <xf numFmtId="0" fontId="1" fillId="3" borderId="1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164" fontId="0" fillId="2" borderId="1" xfId="0" applyNumberFormat="1" applyFill="1" applyBorder="1"/>
    <xf numFmtId="164" fontId="0" fillId="5" borderId="3" xfId="0" applyNumberFormat="1" applyFill="1" applyBorder="1"/>
    <xf numFmtId="4" fontId="0" fillId="6" borderId="2" xfId="0" applyNumberFormat="1" applyFill="1" applyBorder="1"/>
    <xf numFmtId="4" fontId="2" fillId="2" borderId="1" xfId="0" applyNumberFormat="1" applyFont="1" applyFill="1" applyBorder="1"/>
    <xf numFmtId="164" fontId="2" fillId="2" borderId="7" xfId="0" applyNumberFormat="1" applyFont="1" applyFill="1" applyBorder="1"/>
    <xf numFmtId="4" fontId="0" fillId="6" borderId="0" xfId="0" applyNumberFormat="1" applyFill="1"/>
    <xf numFmtId="0" fontId="1" fillId="7" borderId="0" xfId="0" applyFont="1" applyFill="1"/>
    <xf numFmtId="0" fontId="0" fillId="7" borderId="0" xfId="0" applyFill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</a:t>
            </a:r>
            <a:r>
              <a:rPr lang="en-US" baseline="0"/>
              <a:t> SALES 2010-2018: ACTUAL VS MULTIPLICATIVE AND ADDITIVE DECOMPOSITION MODELS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'Restaurant Sales'!$D$3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'Restaurant Sales'!$A$4:$A$111</c:f>
              <c:numCache>
                <c:formatCode>m/d/yyyy</c:formatCode>
                <c:ptCount val="108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</c:numCache>
            </c:numRef>
          </c:cat>
          <c:val>
            <c:numRef>
              <c:f>'Restaurant Sales'!$D$4:$D$111</c:f>
              <c:numCache>
                <c:formatCode>"$"#,##0.00</c:formatCode>
                <c:ptCount val="108"/>
                <c:pt idx="0">
                  <c:v>30481</c:v>
                </c:pt>
                <c:pt idx="1">
                  <c:v>30076</c:v>
                </c:pt>
                <c:pt idx="2">
                  <c:v>33645</c:v>
                </c:pt>
                <c:pt idx="3">
                  <c:v>33287</c:v>
                </c:pt>
                <c:pt idx="4">
                  <c:v>34623</c:v>
                </c:pt>
                <c:pt idx="5">
                  <c:v>33595</c:v>
                </c:pt>
                <c:pt idx="6">
                  <c:v>35062</c:v>
                </c:pt>
                <c:pt idx="7">
                  <c:v>34358</c:v>
                </c:pt>
                <c:pt idx="8">
                  <c:v>31780</c:v>
                </c:pt>
                <c:pt idx="9">
                  <c:v>33607</c:v>
                </c:pt>
                <c:pt idx="10">
                  <c:v>31563</c:v>
                </c:pt>
                <c:pt idx="11">
                  <c:v>33849</c:v>
                </c:pt>
                <c:pt idx="12">
                  <c:v>31763</c:v>
                </c:pt>
                <c:pt idx="13">
                  <c:v>31977</c:v>
                </c:pt>
                <c:pt idx="14">
                  <c:v>35968</c:v>
                </c:pt>
                <c:pt idx="15">
                  <c:v>35427</c:v>
                </c:pt>
                <c:pt idx="16">
                  <c:v>36626</c:v>
                </c:pt>
                <c:pt idx="17">
                  <c:v>35886</c:v>
                </c:pt>
                <c:pt idx="18">
                  <c:v>37246</c:v>
                </c:pt>
                <c:pt idx="19">
                  <c:v>36459</c:v>
                </c:pt>
                <c:pt idx="20">
                  <c:v>34635</c:v>
                </c:pt>
                <c:pt idx="21">
                  <c:v>35636</c:v>
                </c:pt>
                <c:pt idx="22">
                  <c:v>33583</c:v>
                </c:pt>
                <c:pt idx="23">
                  <c:v>36789</c:v>
                </c:pt>
                <c:pt idx="24">
                  <c:v>34091</c:v>
                </c:pt>
                <c:pt idx="25">
                  <c:v>35042</c:v>
                </c:pt>
                <c:pt idx="26">
                  <c:v>39045</c:v>
                </c:pt>
                <c:pt idx="27">
                  <c:v>37143</c:v>
                </c:pt>
                <c:pt idx="28">
                  <c:v>38591</c:v>
                </c:pt>
                <c:pt idx="29">
                  <c:v>38401</c:v>
                </c:pt>
                <c:pt idx="30">
                  <c:v>38488</c:v>
                </c:pt>
                <c:pt idx="31">
                  <c:v>38611</c:v>
                </c:pt>
                <c:pt idx="32">
                  <c:v>36080</c:v>
                </c:pt>
                <c:pt idx="33">
                  <c:v>36782</c:v>
                </c:pt>
                <c:pt idx="34">
                  <c:v>36087</c:v>
                </c:pt>
                <c:pt idx="35">
                  <c:v>38982</c:v>
                </c:pt>
                <c:pt idx="36">
                  <c:v>36033</c:v>
                </c:pt>
                <c:pt idx="37">
                  <c:v>35608</c:v>
                </c:pt>
                <c:pt idx="38">
                  <c:v>40955</c:v>
                </c:pt>
                <c:pt idx="39">
                  <c:v>38810</c:v>
                </c:pt>
                <c:pt idx="40">
                  <c:v>40685</c:v>
                </c:pt>
                <c:pt idx="41">
                  <c:v>39421</c:v>
                </c:pt>
                <c:pt idx="42">
                  <c:v>39610</c:v>
                </c:pt>
                <c:pt idx="43">
                  <c:v>34314</c:v>
                </c:pt>
                <c:pt idx="44">
                  <c:v>36907</c:v>
                </c:pt>
                <c:pt idx="45">
                  <c:v>38790</c:v>
                </c:pt>
                <c:pt idx="46">
                  <c:v>38475</c:v>
                </c:pt>
                <c:pt idx="47">
                  <c:v>40147</c:v>
                </c:pt>
                <c:pt idx="48">
                  <c:v>37121</c:v>
                </c:pt>
                <c:pt idx="49">
                  <c:v>36887</c:v>
                </c:pt>
                <c:pt idx="50">
                  <c:v>42689</c:v>
                </c:pt>
                <c:pt idx="51">
                  <c:v>40953</c:v>
                </c:pt>
                <c:pt idx="52">
                  <c:v>43854</c:v>
                </c:pt>
                <c:pt idx="53">
                  <c:v>41589</c:v>
                </c:pt>
                <c:pt idx="54">
                  <c:v>42450</c:v>
                </c:pt>
                <c:pt idx="55">
                  <c:v>43528</c:v>
                </c:pt>
                <c:pt idx="56">
                  <c:v>39935</c:v>
                </c:pt>
                <c:pt idx="57">
                  <c:v>42574</c:v>
                </c:pt>
                <c:pt idx="58">
                  <c:v>40864</c:v>
                </c:pt>
                <c:pt idx="59">
                  <c:v>44196</c:v>
                </c:pt>
                <c:pt idx="60">
                  <c:v>41784</c:v>
                </c:pt>
                <c:pt idx="61">
                  <c:v>40337</c:v>
                </c:pt>
                <c:pt idx="62">
                  <c:v>46307</c:v>
                </c:pt>
                <c:pt idx="63">
                  <c:v>45094</c:v>
                </c:pt>
                <c:pt idx="64">
                  <c:v>48077</c:v>
                </c:pt>
                <c:pt idx="65">
                  <c:v>45461</c:v>
                </c:pt>
                <c:pt idx="66">
                  <c:v>46408</c:v>
                </c:pt>
                <c:pt idx="67">
                  <c:v>46225</c:v>
                </c:pt>
                <c:pt idx="68">
                  <c:v>43024</c:v>
                </c:pt>
                <c:pt idx="69">
                  <c:v>45883</c:v>
                </c:pt>
                <c:pt idx="70">
                  <c:v>43128</c:v>
                </c:pt>
                <c:pt idx="71">
                  <c:v>47365</c:v>
                </c:pt>
                <c:pt idx="72">
                  <c:v>43571</c:v>
                </c:pt>
                <c:pt idx="73">
                  <c:v>44624</c:v>
                </c:pt>
                <c:pt idx="74">
                  <c:v>48553</c:v>
                </c:pt>
                <c:pt idx="75">
                  <c:v>48373</c:v>
                </c:pt>
                <c:pt idx="76">
                  <c:v>49117</c:v>
                </c:pt>
                <c:pt idx="77">
                  <c:v>47334</c:v>
                </c:pt>
                <c:pt idx="78">
                  <c:v>48817</c:v>
                </c:pt>
                <c:pt idx="79">
                  <c:v>47920</c:v>
                </c:pt>
                <c:pt idx="80">
                  <c:v>45692</c:v>
                </c:pt>
                <c:pt idx="81">
                  <c:v>47270</c:v>
                </c:pt>
                <c:pt idx="82">
                  <c:v>45581</c:v>
                </c:pt>
                <c:pt idx="83">
                  <c:v>49559</c:v>
                </c:pt>
                <c:pt idx="84">
                  <c:v>45897</c:v>
                </c:pt>
                <c:pt idx="85">
                  <c:v>45364</c:v>
                </c:pt>
                <c:pt idx="86">
                  <c:v>51845</c:v>
                </c:pt>
                <c:pt idx="87">
                  <c:v>50245</c:v>
                </c:pt>
                <c:pt idx="88">
                  <c:v>51829</c:v>
                </c:pt>
                <c:pt idx="89">
                  <c:v>51013</c:v>
                </c:pt>
                <c:pt idx="90">
                  <c:v>51173</c:v>
                </c:pt>
                <c:pt idx="91">
                  <c:v>50943</c:v>
                </c:pt>
                <c:pt idx="92">
                  <c:v>48447</c:v>
                </c:pt>
                <c:pt idx="93">
                  <c:v>49408</c:v>
                </c:pt>
                <c:pt idx="94">
                  <c:v>47580</c:v>
                </c:pt>
                <c:pt idx="95">
                  <c:v>53037</c:v>
                </c:pt>
                <c:pt idx="96">
                  <c:v>47333</c:v>
                </c:pt>
                <c:pt idx="97">
                  <c:v>47095</c:v>
                </c:pt>
                <c:pt idx="98">
                  <c:v>54782</c:v>
                </c:pt>
                <c:pt idx="99">
                  <c:v>51700</c:v>
                </c:pt>
                <c:pt idx="100">
                  <c:v>55395</c:v>
                </c:pt>
                <c:pt idx="101">
                  <c:v>55556</c:v>
                </c:pt>
                <c:pt idx="102">
                  <c:v>55840</c:v>
                </c:pt>
                <c:pt idx="103">
                  <c:v>56029</c:v>
                </c:pt>
                <c:pt idx="104">
                  <c:v>50923</c:v>
                </c:pt>
                <c:pt idx="105">
                  <c:v>52322</c:v>
                </c:pt>
                <c:pt idx="106">
                  <c:v>50429</c:v>
                </c:pt>
                <c:pt idx="107">
                  <c:v>54567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E-5242-9C7B-8E3C41FF1140}"/>
            </c:ext>
          </c:extLst>
        </c:ser>
        <c:ser>
          <c:idx val="1"/>
          <c:order val="1"/>
          <c:tx>
            <c:v>Additive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'Restaurant Sales'!$M$4:$M$111</c:f>
              <c:numCache>
                <c:formatCode>General</c:formatCode>
                <c:ptCount val="108"/>
                <c:pt idx="0">
                  <c:v>28581.102006344852</c:v>
                </c:pt>
                <c:pt idx="1">
                  <c:v>28446.402006344852</c:v>
                </c:pt>
                <c:pt idx="2">
                  <c:v>33931.102006344852</c:v>
                </c:pt>
                <c:pt idx="3">
                  <c:v>32404.702006344851</c:v>
                </c:pt>
                <c:pt idx="4">
                  <c:v>34577.002006344846</c:v>
                </c:pt>
                <c:pt idx="5">
                  <c:v>33445.902006344848</c:v>
                </c:pt>
                <c:pt idx="6">
                  <c:v>34184.202006344851</c:v>
                </c:pt>
                <c:pt idx="7">
                  <c:v>33589.202006344851</c:v>
                </c:pt>
                <c:pt idx="8">
                  <c:v>30971.202006344851</c:v>
                </c:pt>
                <c:pt idx="9">
                  <c:v>32649.202006344851</c:v>
                </c:pt>
                <c:pt idx="10">
                  <c:v>31016.102006344852</c:v>
                </c:pt>
                <c:pt idx="11">
                  <c:v>34477.702006344851</c:v>
                </c:pt>
                <c:pt idx="12">
                  <c:v>31063.50156049044</c:v>
                </c:pt>
                <c:pt idx="13">
                  <c:v>30928.801560490439</c:v>
                </c:pt>
                <c:pt idx="14">
                  <c:v>36413.501560490433</c:v>
                </c:pt>
                <c:pt idx="15">
                  <c:v>34887.101560490439</c:v>
                </c:pt>
                <c:pt idx="16">
                  <c:v>37059.401560490442</c:v>
                </c:pt>
                <c:pt idx="17">
                  <c:v>35928.301560490443</c:v>
                </c:pt>
                <c:pt idx="18">
                  <c:v>36666.601560490439</c:v>
                </c:pt>
                <c:pt idx="19">
                  <c:v>36071.601560490439</c:v>
                </c:pt>
                <c:pt idx="20">
                  <c:v>33453.601560490439</c:v>
                </c:pt>
                <c:pt idx="21">
                  <c:v>35131.601560490439</c:v>
                </c:pt>
                <c:pt idx="22">
                  <c:v>33498.50156049044</c:v>
                </c:pt>
                <c:pt idx="23">
                  <c:v>36960.101560490439</c:v>
                </c:pt>
                <c:pt idx="24">
                  <c:v>33545.901114636028</c:v>
                </c:pt>
                <c:pt idx="25">
                  <c:v>33411.201114636031</c:v>
                </c:pt>
                <c:pt idx="26">
                  <c:v>38895.901114636028</c:v>
                </c:pt>
                <c:pt idx="27">
                  <c:v>37369.501114636027</c:v>
                </c:pt>
                <c:pt idx="28">
                  <c:v>39541.801114636022</c:v>
                </c:pt>
                <c:pt idx="29">
                  <c:v>38410.701114636031</c:v>
                </c:pt>
                <c:pt idx="30">
                  <c:v>39149.001114636027</c:v>
                </c:pt>
                <c:pt idx="31">
                  <c:v>38554.001114636027</c:v>
                </c:pt>
                <c:pt idx="32">
                  <c:v>35936.001114636027</c:v>
                </c:pt>
                <c:pt idx="33">
                  <c:v>37614.001114636034</c:v>
                </c:pt>
                <c:pt idx="34">
                  <c:v>35980.901114636028</c:v>
                </c:pt>
                <c:pt idx="35">
                  <c:v>39442.501114636027</c:v>
                </c:pt>
                <c:pt idx="36">
                  <c:v>36028.300668781616</c:v>
                </c:pt>
                <c:pt idx="37">
                  <c:v>35893.600668781619</c:v>
                </c:pt>
                <c:pt idx="38">
                  <c:v>41378.300668781616</c:v>
                </c:pt>
                <c:pt idx="39">
                  <c:v>39851.900668781615</c:v>
                </c:pt>
                <c:pt idx="40">
                  <c:v>42024.200668781617</c:v>
                </c:pt>
                <c:pt idx="41">
                  <c:v>40893.100668781619</c:v>
                </c:pt>
                <c:pt idx="42">
                  <c:v>41631.400668781615</c:v>
                </c:pt>
                <c:pt idx="43">
                  <c:v>41036.400668781615</c:v>
                </c:pt>
                <c:pt idx="44">
                  <c:v>38418.400668781615</c:v>
                </c:pt>
                <c:pt idx="45">
                  <c:v>40096.400668781615</c:v>
                </c:pt>
                <c:pt idx="46">
                  <c:v>38463.300668781616</c:v>
                </c:pt>
                <c:pt idx="47">
                  <c:v>41924.900668781622</c:v>
                </c:pt>
                <c:pt idx="48">
                  <c:v>38510.700222927204</c:v>
                </c:pt>
                <c:pt idx="49">
                  <c:v>38376.000222927207</c:v>
                </c:pt>
                <c:pt idx="50">
                  <c:v>43860.700222927204</c:v>
                </c:pt>
                <c:pt idx="51">
                  <c:v>42334.300222927202</c:v>
                </c:pt>
                <c:pt idx="52">
                  <c:v>44506.600222927198</c:v>
                </c:pt>
                <c:pt idx="53">
                  <c:v>43375.500222927207</c:v>
                </c:pt>
                <c:pt idx="54">
                  <c:v>44113.80022292721</c:v>
                </c:pt>
                <c:pt idx="55">
                  <c:v>43518.800222927202</c:v>
                </c:pt>
                <c:pt idx="56">
                  <c:v>40900.800222927202</c:v>
                </c:pt>
                <c:pt idx="57">
                  <c:v>42578.80022292721</c:v>
                </c:pt>
                <c:pt idx="58">
                  <c:v>40945.700222927204</c:v>
                </c:pt>
                <c:pt idx="59">
                  <c:v>44407.300222927202</c:v>
                </c:pt>
                <c:pt idx="60">
                  <c:v>40993.099777072792</c:v>
                </c:pt>
                <c:pt idx="61">
                  <c:v>40858.399777072802</c:v>
                </c:pt>
                <c:pt idx="62">
                  <c:v>46343.099777072792</c:v>
                </c:pt>
                <c:pt idx="63">
                  <c:v>44816.69977707279</c:v>
                </c:pt>
                <c:pt idx="64">
                  <c:v>46988.999777072793</c:v>
                </c:pt>
                <c:pt idx="65">
                  <c:v>45857.899777072795</c:v>
                </c:pt>
                <c:pt idx="66">
                  <c:v>46596.19977707279</c:v>
                </c:pt>
                <c:pt idx="67">
                  <c:v>46001.19977707279</c:v>
                </c:pt>
                <c:pt idx="68">
                  <c:v>43383.199777072798</c:v>
                </c:pt>
                <c:pt idx="69">
                  <c:v>45061.199777072798</c:v>
                </c:pt>
                <c:pt idx="70">
                  <c:v>43428.099777072792</c:v>
                </c:pt>
                <c:pt idx="71">
                  <c:v>46889.699777072798</c:v>
                </c:pt>
                <c:pt idx="72">
                  <c:v>43475.49933121838</c:v>
                </c:pt>
                <c:pt idx="73">
                  <c:v>43340.799331218383</c:v>
                </c:pt>
                <c:pt idx="74">
                  <c:v>48825.49933121838</c:v>
                </c:pt>
                <c:pt idx="75">
                  <c:v>47299.099331218378</c:v>
                </c:pt>
                <c:pt idx="76">
                  <c:v>49471.399331218388</c:v>
                </c:pt>
                <c:pt idx="77">
                  <c:v>48340.299331218383</c:v>
                </c:pt>
                <c:pt idx="78">
                  <c:v>49078.599331218385</c:v>
                </c:pt>
                <c:pt idx="79">
                  <c:v>48483.599331218378</c:v>
                </c:pt>
                <c:pt idx="80">
                  <c:v>45865.599331218378</c:v>
                </c:pt>
                <c:pt idx="81">
                  <c:v>47543.599331218385</c:v>
                </c:pt>
                <c:pt idx="82">
                  <c:v>45910.499331218387</c:v>
                </c:pt>
                <c:pt idx="83">
                  <c:v>49372.099331218385</c:v>
                </c:pt>
                <c:pt idx="84">
                  <c:v>45957.898885363968</c:v>
                </c:pt>
                <c:pt idx="85">
                  <c:v>45823.198885363978</c:v>
                </c:pt>
                <c:pt idx="86">
                  <c:v>51307.898885363968</c:v>
                </c:pt>
                <c:pt idx="87">
                  <c:v>49781.498885363966</c:v>
                </c:pt>
                <c:pt idx="88">
                  <c:v>51953.798885363969</c:v>
                </c:pt>
                <c:pt idx="89">
                  <c:v>50822.698885363978</c:v>
                </c:pt>
                <c:pt idx="90">
                  <c:v>51560.998885363966</c:v>
                </c:pt>
                <c:pt idx="91">
                  <c:v>50965.998885363966</c:v>
                </c:pt>
                <c:pt idx="92">
                  <c:v>48347.998885363973</c:v>
                </c:pt>
                <c:pt idx="93">
                  <c:v>50025.998885363973</c:v>
                </c:pt>
                <c:pt idx="94">
                  <c:v>48392.898885363968</c:v>
                </c:pt>
                <c:pt idx="95">
                  <c:v>51854.498885363973</c:v>
                </c:pt>
                <c:pt idx="96">
                  <c:v>48440.298439509563</c:v>
                </c:pt>
                <c:pt idx="97">
                  <c:v>48305.598439509558</c:v>
                </c:pt>
                <c:pt idx="98">
                  <c:v>53790.298439509555</c:v>
                </c:pt>
                <c:pt idx="99">
                  <c:v>52263.898439509561</c:v>
                </c:pt>
                <c:pt idx="100">
                  <c:v>54436.198439509564</c:v>
                </c:pt>
                <c:pt idx="101">
                  <c:v>53305.098439509558</c:v>
                </c:pt>
                <c:pt idx="102">
                  <c:v>54043.398439509561</c:v>
                </c:pt>
                <c:pt idx="103">
                  <c:v>53448.398439509561</c:v>
                </c:pt>
                <c:pt idx="104">
                  <c:v>50830.398439509554</c:v>
                </c:pt>
                <c:pt idx="105">
                  <c:v>52508.398439509561</c:v>
                </c:pt>
                <c:pt idx="106">
                  <c:v>50875.298439509563</c:v>
                </c:pt>
                <c:pt idx="107">
                  <c:v>54336.898439509561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E-5242-9C7B-8E3C41FF1140}"/>
            </c:ext>
          </c:extLst>
        </c:ser>
        <c:ser>
          <c:idx val="2"/>
          <c:order val="2"/>
          <c:tx>
            <c:v>Multiplicative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'Restaurant Sales'!$J$4:$J$111</c:f>
              <c:numCache>
                <c:formatCode>General</c:formatCode>
                <c:ptCount val="108"/>
                <c:pt idx="0">
                  <c:v>29297.390413043802</c:v>
                </c:pt>
                <c:pt idx="1">
                  <c:v>29255.746984173082</c:v>
                </c:pt>
                <c:pt idx="2">
                  <c:v>33305.212887081172</c:v>
                </c:pt>
                <c:pt idx="3">
                  <c:v>32261.408014935925</c:v>
                </c:pt>
                <c:pt idx="4">
                  <c:v>33883.674888125635</c:v>
                </c:pt>
                <c:pt idx="5">
                  <c:v>33072.954655162685</c:v>
                </c:pt>
                <c:pt idx="6">
                  <c:v>33715.269695729927</c:v>
                </c:pt>
                <c:pt idx="7">
                  <c:v>33251.317909408026</c:v>
                </c:pt>
                <c:pt idx="8">
                  <c:v>31412.732917645975</c:v>
                </c:pt>
                <c:pt idx="9">
                  <c:v>32733.924282644446</c:v>
                </c:pt>
                <c:pt idx="10">
                  <c:v>31532.09973847435</c:v>
                </c:pt>
                <c:pt idx="11">
                  <c:v>34157.124087429103</c:v>
                </c:pt>
                <c:pt idx="12">
                  <c:v>31634.625708009869</c:v>
                </c:pt>
                <c:pt idx="13">
                  <c:v>31574.246693364134</c:v>
                </c:pt>
                <c:pt idx="14">
                  <c:v>35927.313590629194</c:v>
                </c:pt>
                <c:pt idx="15">
                  <c:v>34784.775273280677</c:v>
                </c:pt>
                <c:pt idx="16">
                  <c:v>36516.767266110699</c:v>
                </c:pt>
                <c:pt idx="17">
                  <c:v>35626.50980784875</c:v>
                </c:pt>
                <c:pt idx="18">
                  <c:v>36301.775881758847</c:v>
                </c:pt>
                <c:pt idx="19">
                  <c:v>35786.02706331182</c:v>
                </c:pt>
                <c:pt idx="20">
                  <c:v>33792.17371734709</c:v>
                </c:pt>
                <c:pt idx="21">
                  <c:v>35197.888932709109</c:v>
                </c:pt>
                <c:pt idx="22">
                  <c:v>33890.804568803185</c:v>
                </c:pt>
                <c:pt idx="23">
                  <c:v>36696.360772785018</c:v>
                </c:pt>
                <c:pt idx="24">
                  <c:v>33971.861002975929</c:v>
                </c:pt>
                <c:pt idx="25">
                  <c:v>33892.746402555182</c:v>
                </c:pt>
                <c:pt idx="26">
                  <c:v>38549.41429417723</c:v>
                </c:pt>
                <c:pt idx="27">
                  <c:v>37308.142531625417</c:v>
                </c:pt>
                <c:pt idx="28">
                  <c:v>39149.859644095755</c:v>
                </c:pt>
                <c:pt idx="29">
                  <c:v>38180.064960534808</c:v>
                </c:pt>
                <c:pt idx="30">
                  <c:v>38888.282067787768</c:v>
                </c:pt>
                <c:pt idx="31">
                  <c:v>38320.736217215614</c:v>
                </c:pt>
                <c:pt idx="32">
                  <c:v>36171.614517048198</c:v>
                </c:pt>
                <c:pt idx="33">
                  <c:v>37661.853582773787</c:v>
                </c:pt>
                <c:pt idx="34">
                  <c:v>36249.509399132025</c:v>
                </c:pt>
                <c:pt idx="35">
                  <c:v>39235.597458140925</c:v>
                </c:pt>
                <c:pt idx="36">
                  <c:v>36309.096297941993</c:v>
                </c:pt>
                <c:pt idx="37">
                  <c:v>36211.246111746237</c:v>
                </c:pt>
                <c:pt idx="38">
                  <c:v>41171.514997725259</c:v>
                </c:pt>
                <c:pt idx="39">
                  <c:v>39831.509789970165</c:v>
                </c:pt>
                <c:pt idx="40">
                  <c:v>41782.952022080826</c:v>
                </c:pt>
                <c:pt idx="41">
                  <c:v>40733.620113220866</c:v>
                </c:pt>
                <c:pt idx="42">
                  <c:v>41474.788253816689</c:v>
                </c:pt>
                <c:pt idx="43">
                  <c:v>40855.445371119407</c:v>
                </c:pt>
                <c:pt idx="44">
                  <c:v>38551.055316749313</c:v>
                </c:pt>
                <c:pt idx="45">
                  <c:v>40125.818232838443</c:v>
                </c:pt>
                <c:pt idx="46">
                  <c:v>38608.214229460857</c:v>
                </c:pt>
                <c:pt idx="47">
                  <c:v>41774.834143496846</c:v>
                </c:pt>
                <c:pt idx="48">
                  <c:v>38646.331592908056</c:v>
                </c:pt>
                <c:pt idx="49">
                  <c:v>38529.745820937285</c:v>
                </c:pt>
                <c:pt idx="50">
                  <c:v>43793.61570127328</c:v>
                </c:pt>
                <c:pt idx="51">
                  <c:v>42354.877048314913</c:v>
                </c:pt>
                <c:pt idx="52">
                  <c:v>44416.044400065875</c:v>
                </c:pt>
                <c:pt idx="53">
                  <c:v>43287.175265906932</c:v>
                </c:pt>
                <c:pt idx="54">
                  <c:v>44061.294439845624</c:v>
                </c:pt>
                <c:pt idx="55">
                  <c:v>43390.154525023201</c:v>
                </c:pt>
                <c:pt idx="56">
                  <c:v>40930.49611645042</c:v>
                </c:pt>
                <c:pt idx="57">
                  <c:v>42589.782882903113</c:v>
                </c:pt>
                <c:pt idx="58">
                  <c:v>40966.919059789696</c:v>
                </c:pt>
                <c:pt idx="59">
                  <c:v>44314.070828852753</c:v>
                </c:pt>
                <c:pt idx="60">
                  <c:v>40983.56688787412</c:v>
                </c:pt>
                <c:pt idx="61">
                  <c:v>40848.245530128348</c:v>
                </c:pt>
                <c:pt idx="62">
                  <c:v>46415.716404821309</c:v>
                </c:pt>
                <c:pt idx="63">
                  <c:v>44878.244306659661</c:v>
                </c:pt>
                <c:pt idx="64">
                  <c:v>47049.136778050946</c:v>
                </c:pt>
                <c:pt idx="65">
                  <c:v>45840.73041859299</c:v>
                </c:pt>
                <c:pt idx="66">
                  <c:v>46647.800625874537</c:v>
                </c:pt>
                <c:pt idx="67">
                  <c:v>45924.863678926995</c:v>
                </c:pt>
                <c:pt idx="68">
                  <c:v>43309.936916151535</c:v>
                </c:pt>
                <c:pt idx="69">
                  <c:v>45053.747532967784</c:v>
                </c:pt>
                <c:pt idx="70">
                  <c:v>43325.623890118528</c:v>
                </c:pt>
                <c:pt idx="71">
                  <c:v>46853.307514208675</c:v>
                </c:pt>
                <c:pt idx="72">
                  <c:v>43320.802182840176</c:v>
                </c:pt>
                <c:pt idx="73">
                  <c:v>43166.745239319389</c:v>
                </c:pt>
                <c:pt idx="74">
                  <c:v>49037.817108369331</c:v>
                </c:pt>
                <c:pt idx="75">
                  <c:v>47401.611565004401</c:v>
                </c:pt>
                <c:pt idx="76">
                  <c:v>49682.22915603601</c:v>
                </c:pt>
                <c:pt idx="77">
                  <c:v>48394.285571279055</c:v>
                </c:pt>
                <c:pt idx="78">
                  <c:v>49234.306811903465</c:v>
                </c:pt>
                <c:pt idx="79">
                  <c:v>48459.572832830789</c:v>
                </c:pt>
                <c:pt idx="80">
                  <c:v>45689.377715852643</c:v>
                </c:pt>
                <c:pt idx="81">
                  <c:v>47517.712183032447</c:v>
                </c:pt>
                <c:pt idx="82">
                  <c:v>45684.328720447375</c:v>
                </c:pt>
                <c:pt idx="83">
                  <c:v>49392.544199564589</c:v>
                </c:pt>
                <c:pt idx="84">
                  <c:v>45658.03747780624</c:v>
                </c:pt>
                <c:pt idx="85">
                  <c:v>45485.244948510452</c:v>
                </c:pt>
                <c:pt idx="86">
                  <c:v>51659.917811917359</c:v>
                </c:pt>
                <c:pt idx="87">
                  <c:v>49924.978823349149</c:v>
                </c:pt>
                <c:pt idx="88">
                  <c:v>52315.321534021066</c:v>
                </c:pt>
                <c:pt idx="89">
                  <c:v>50947.840723965121</c:v>
                </c:pt>
                <c:pt idx="90">
                  <c:v>51820.812997932378</c:v>
                </c:pt>
                <c:pt idx="91">
                  <c:v>50994.281986734582</c:v>
                </c:pt>
                <c:pt idx="92">
                  <c:v>48068.818515553758</c:v>
                </c:pt>
                <c:pt idx="93">
                  <c:v>49981.67683309711</c:v>
                </c:pt>
                <c:pt idx="94">
                  <c:v>48043.033550776199</c:v>
                </c:pt>
                <c:pt idx="95">
                  <c:v>51931.780884920503</c:v>
                </c:pt>
                <c:pt idx="96">
                  <c:v>47995.27277277231</c:v>
                </c:pt>
                <c:pt idx="97">
                  <c:v>47803.744657701493</c:v>
                </c:pt>
                <c:pt idx="98">
                  <c:v>54282.018515465388</c:v>
                </c:pt>
                <c:pt idx="99">
                  <c:v>52448.346081693904</c:v>
                </c:pt>
                <c:pt idx="100">
                  <c:v>54948.41391200613</c:v>
                </c:pt>
                <c:pt idx="101">
                  <c:v>53501.395876651179</c:v>
                </c:pt>
                <c:pt idx="102">
                  <c:v>54407.319183961314</c:v>
                </c:pt>
                <c:pt idx="103">
                  <c:v>53528.991140638376</c:v>
                </c:pt>
                <c:pt idx="104">
                  <c:v>50448.259315254865</c:v>
                </c:pt>
                <c:pt idx="105">
                  <c:v>52445.64148316178</c:v>
                </c:pt>
                <c:pt idx="106">
                  <c:v>50401.738381105046</c:v>
                </c:pt>
                <c:pt idx="107">
                  <c:v>54471.017570276417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0E-5242-9C7B-8E3C41FF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325631"/>
        <c:axId val="1363321599"/>
      </c:lineChart>
      <c:dateAx>
        <c:axId val="1363325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21599"/>
        <c:crosses val="autoZero"/>
        <c:auto val="1"/>
        <c:lblOffset val="100"/>
        <c:baseTimeUnit val="months"/>
      </c:dateAx>
      <c:valAx>
        <c:axId val="136332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RESTAURANT</a:t>
                </a:r>
                <a:r>
                  <a:rPr lang="en-US" baseline="0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2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  <a:r>
              <a:rPr lang="en-US" baseline="0"/>
              <a:t> METHOD ACCURACY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SUMMARY!$A$2:$A$8</c:f>
              <c:strCache>
                <c:ptCount val="7"/>
                <c:pt idx="0">
                  <c:v>Simple Exponential (α=0.7)</c:v>
                </c:pt>
                <c:pt idx="1">
                  <c:v>Double Exponential (α=0.7 β=0.4)</c:v>
                </c:pt>
                <c:pt idx="2">
                  <c:v>12 Month Moving Average</c:v>
                </c:pt>
                <c:pt idx="3">
                  <c:v>4 Month Weighted Moving average</c:v>
                </c:pt>
                <c:pt idx="4">
                  <c:v>Regression</c:v>
                </c:pt>
                <c:pt idx="5">
                  <c:v>Simple Exponential with Solver</c:v>
                </c:pt>
                <c:pt idx="6">
                  <c:v>Double Exponential with solver</c:v>
                </c:pt>
              </c:strCache>
            </c:strRef>
          </c:cat>
          <c:val>
            <c:numRef>
              <c:f>SUMMARY!$C$2:$C$8</c:f>
              <c:numCache>
                <c:formatCode>General</c:formatCode>
                <c:ptCount val="7"/>
                <c:pt idx="0">
                  <c:v>5646.7753426999998</c:v>
                </c:pt>
                <c:pt idx="1">
                  <c:v>2992.89</c:v>
                </c:pt>
                <c:pt idx="2">
                  <c:v>3458.144323</c:v>
                </c:pt>
                <c:pt idx="3">
                  <c:v>3228.6213200000002</c:v>
                </c:pt>
                <c:pt idx="4">
                  <c:v>3153.729108</c:v>
                </c:pt>
                <c:pt idx="5">
                  <c:v>4552.9356760000001</c:v>
                </c:pt>
                <c:pt idx="6">
                  <c:v>2862.52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9-4974-9C89-A202E8000D79}"/>
            </c:ext>
          </c:extLst>
        </c:ser>
        <c:ser>
          <c:idx val="1"/>
          <c:order val="1"/>
          <c:tx>
            <c:v>MAPE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SUMMARY!$B$2:$B$8</c:f>
              <c:numCache>
                <c:formatCode>General</c:formatCode>
                <c:ptCount val="7"/>
                <c:pt idx="0">
                  <c:v>0.09</c:v>
                </c:pt>
                <c:pt idx="1">
                  <c:v>4.7625000000000001E-2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4.5880999999999998E-2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9-4974-9C89-A202E8000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3877311"/>
        <c:axId val="1953880191"/>
      </c:barChart>
      <c:catAx>
        <c:axId val="195387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880191"/>
        <c:crosses val="autoZero"/>
        <c:auto val="1"/>
        <c:lblAlgn val="ctr"/>
        <c:lblOffset val="100"/>
        <c:noMultiLvlLbl val="0"/>
      </c:catAx>
      <c:valAx>
        <c:axId val="195388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877311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397008</xdr:colOff>
      <xdr:row>86</xdr:row>
      <xdr:rowOff>128068</xdr:rowOff>
    </xdr:from>
    <xdr:to>
      <xdr:col>9</xdr:col>
      <xdr:colOff>467761</xdr:colOff>
      <xdr:row>110</xdr:row>
      <xdr:rowOff>98079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4A524-2CD4-4ABA-4653-C88416434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82550</xdr:colOff>
      <xdr:row>17</xdr:row>
      <xdr:rowOff>158750</xdr:rowOff>
    </xdr:from>
    <xdr:to>
      <xdr:col>34</xdr:col>
      <xdr:colOff>393700</xdr:colOff>
      <xdr:row>27</xdr:row>
      <xdr:rowOff>6350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FB83A06-07BE-4AD6-9DEA-7B92A652516D}"/>
            </a:ext>
          </a:extLst>
        </xdr:cNvPr>
        <xdr:cNvSpPr/>
      </xdr:nvSpPr>
      <xdr:spPr>
        <a:xfrm>
          <a:off x="19939000" y="3708400"/>
          <a:ext cx="4813300" cy="17716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190500</xdr:colOff>
      <xdr:row>17</xdr:row>
      <xdr:rowOff>0</xdr:rowOff>
    </xdr:from>
    <xdr:to>
      <xdr:col>27</xdr:col>
      <xdr:colOff>161925</xdr:colOff>
      <xdr:row>31</xdr:row>
      <xdr:rowOff>38100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04B31D9-E1BB-4FFB-9E92-2EA3F95CE458}"/>
            </a:ext>
          </a:extLst>
        </xdr:cNvPr>
        <xdr:cNvSpPr/>
      </xdr:nvSpPr>
      <xdr:spPr>
        <a:xfrm>
          <a:off x="14563725" y="3543300"/>
          <a:ext cx="4848225" cy="26574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317500</xdr:colOff>
      <xdr:row>6</xdr:row>
      <xdr:rowOff>107950</xdr:rowOff>
    </xdr:from>
    <xdr:to>
      <xdr:col>27</xdr:col>
      <xdr:colOff>254000</xdr:colOff>
      <xdr:row>15</xdr:row>
      <xdr:rowOff>12700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CCFD075-B9D1-2F25-3F0B-EEDA6AF103A3}"/>
            </a:ext>
          </a:extLst>
        </xdr:cNvPr>
        <xdr:cNvSpPr/>
      </xdr:nvSpPr>
      <xdr:spPr>
        <a:xfrm>
          <a:off x="14687550" y="1212850"/>
          <a:ext cx="4813300" cy="15621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19</xdr:col>
      <xdr:colOff>57150</xdr:colOff>
      <xdr:row>11</xdr:row>
      <xdr:rowOff>6350</xdr:rowOff>
    </xdr:from>
    <xdr:ext cx="4730749" cy="316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AF97ECA-C548-17ED-7BB6-97471CE5ECE6}"/>
                </a:ext>
              </a:extLst>
            </xdr:cNvPr>
            <xdr:cNvSpPr txBox="1"/>
          </xdr:nvSpPr>
          <xdr:spPr>
            <a:xfrm>
              <a:off x="14427200" y="2032000"/>
              <a:ext cx="4730749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d>
                          <m:d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8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i="1"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US" sz="1800" i="0">
                        <a:latin typeface="Cambria Math" panose="02040503050406030204" pitchFamily="18" charset="0"/>
                      </a:rPr>
                      <m:t>⋅</m:t>
                    </m:r>
                    <m:d>
                      <m:d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d>
                              <m:dPr>
                                <m:ctrlPr>
                                  <a:rPr lang="en-US" sz="18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  <m:r>
                                  <a:rPr lang="en-US" sz="1800" i="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e>
                            </m:d>
                          </m:sub>
                        </m:sSub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d>
                              <m:dPr>
                                <m:ctrlPr>
                                  <a:rPr lang="en-US" sz="18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  <m:r>
                                  <a:rPr lang="en-US" sz="1800" i="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e>
                            </m:d>
                          </m:sub>
                        </m:sSub>
                      </m:e>
                    </m:d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AF97ECA-C548-17ED-7BB6-97471CE5ECE6}"/>
                </a:ext>
              </a:extLst>
            </xdr:cNvPr>
            <xdr:cNvSpPr txBox="1"/>
          </xdr:nvSpPr>
          <xdr:spPr>
            <a:xfrm>
              <a:off x="14427200" y="2032000"/>
              <a:ext cx="4730749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𝐹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𝑡=𝐹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en-US" sz="1800" i="0">
                  <a:latin typeface="Cambria Math" panose="02040503050406030204" pitchFamily="18" charset="0"/>
                </a:rPr>
                <a:t>𝑡−1)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800" i="0">
                  <a:latin typeface="Cambria Math" panose="02040503050406030204" pitchFamily="18" charset="0"/>
                </a:rPr>
                <a:t>+𝛼⋅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800" i="0">
                  <a:latin typeface="Cambria Math" panose="02040503050406030204" pitchFamily="18" charset="0"/>
                </a:rPr>
                <a:t>𝐴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en-US" sz="1800" i="0">
                  <a:latin typeface="Cambria Math" panose="02040503050406030204" pitchFamily="18" charset="0"/>
                </a:rPr>
                <a:t>𝑡−1)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800" i="0">
                  <a:latin typeface="Cambria Math" panose="02040503050406030204" pitchFamily="18" charset="0"/>
                </a:rPr>
                <a:t>−𝐹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en-US" sz="1800" i="0">
                  <a:latin typeface="Cambria Math" panose="02040503050406030204" pitchFamily="18" charset="0"/>
                </a:rPr>
                <a:t>𝑡−1)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)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19</xdr:col>
      <xdr:colOff>568325</xdr:colOff>
      <xdr:row>9</xdr:row>
      <xdr:rowOff>82550</xdr:rowOff>
    </xdr:from>
    <xdr:ext cx="1108075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55CB64-8AC7-98A9-5D1D-B48EC8ADC416}"/>
                </a:ext>
              </a:extLst>
            </xdr:cNvPr>
            <xdr:cNvSpPr txBox="1"/>
          </xdr:nvSpPr>
          <xdr:spPr>
            <a:xfrm>
              <a:off x="14938375" y="1739900"/>
              <a:ext cx="1108075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55CB64-8AC7-98A9-5D1D-B48EC8ADC416}"/>
                </a:ext>
              </a:extLst>
            </xdr:cNvPr>
            <xdr:cNvSpPr txBox="1"/>
          </xdr:nvSpPr>
          <xdr:spPr>
            <a:xfrm>
              <a:off x="14938375" y="1739900"/>
              <a:ext cx="1108075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𝐹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1=𝐴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1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19</xdr:col>
      <xdr:colOff>530225</xdr:colOff>
      <xdr:row>23</xdr:row>
      <xdr:rowOff>101601</xdr:rowOff>
    </xdr:from>
    <xdr:ext cx="4003675" cy="316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FE394A-5305-0747-C64B-D91950710F8C}"/>
                </a:ext>
              </a:extLst>
            </xdr:cNvPr>
            <xdr:cNvSpPr txBox="1"/>
          </xdr:nvSpPr>
          <xdr:spPr>
            <a:xfrm>
              <a:off x="14900275" y="4337051"/>
              <a:ext cx="4003675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800" i="1"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US" sz="1800" i="0">
                        <a:latin typeface="Cambria Math" panose="02040503050406030204" pitchFamily="18" charset="0"/>
                      </a:rPr>
                      <m:t>⋅</m:t>
                    </m:r>
                    <m:d>
                      <m:d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d>
                              <m:dPr>
                                <m:ctrlPr>
                                  <a:rPr lang="en-US" sz="18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  <m:r>
                                  <a:rPr lang="en-US" sz="1800" i="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e>
                            </m:d>
                          </m:sub>
                        </m:sSub>
                      </m:e>
                    </m:d>
                    <m:r>
                      <a:rPr lang="en-US" sz="1800" i="0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</m:d>
                    <m:r>
                      <a:rPr lang="en-US" sz="1800" i="0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FE394A-5305-0747-C64B-D91950710F8C}"/>
                </a:ext>
              </a:extLst>
            </xdr:cNvPr>
            <xdr:cNvSpPr txBox="1"/>
          </xdr:nvSpPr>
          <xdr:spPr>
            <a:xfrm>
              <a:off x="14900275" y="4337051"/>
              <a:ext cx="4003675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𝑇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𝑡=𝛽⋅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800" i="0">
                  <a:latin typeface="Cambria Math" panose="02040503050406030204" pitchFamily="18" charset="0"/>
                </a:rPr>
                <a:t>𝐿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𝑡−𝐿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en-US" sz="1800" i="0">
                  <a:latin typeface="Cambria Math" panose="02040503050406030204" pitchFamily="18" charset="0"/>
                </a:rPr>
                <a:t>𝑡−1)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)</a:t>
              </a:r>
              <a:r>
                <a:rPr lang="en-US" sz="1800" i="0">
                  <a:latin typeface="Cambria Math" panose="02040503050406030204" pitchFamily="18" charset="0"/>
                </a:rPr>
                <a:t>+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800" i="0">
                  <a:latin typeface="Cambria Math" panose="02040503050406030204" pitchFamily="18" charset="0"/>
                </a:rPr>
                <a:t>1−𝛽)⋅𝑇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US" sz="1800" i="0">
                  <a:latin typeface="Cambria Math" panose="02040503050406030204" pitchFamily="18" charset="0"/>
                </a:rPr>
                <a:t>𝑡−1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20</xdr:col>
      <xdr:colOff>79375</xdr:colOff>
      <xdr:row>28</xdr:row>
      <xdr:rowOff>19050</xdr:rowOff>
    </xdr:from>
    <xdr:ext cx="2210990" cy="2965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1D6F1AA-10D9-733F-F2EA-071AE4A587E2}"/>
                </a:ext>
              </a:extLst>
            </xdr:cNvPr>
            <xdr:cNvSpPr txBox="1"/>
          </xdr:nvSpPr>
          <xdr:spPr>
            <a:xfrm>
              <a:off x="15059025" y="5676900"/>
              <a:ext cx="2210990" cy="2965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d>
                          <m:d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8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e>
                        </m:d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d>
                          <m:d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800" i="0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d>
                          <m:d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</m:sub>
                    </m:sSub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1D6F1AA-10D9-733F-F2EA-071AE4A587E2}"/>
                </a:ext>
              </a:extLst>
            </xdr:cNvPr>
            <xdr:cNvSpPr txBox="1"/>
          </xdr:nvSpPr>
          <xdr:spPr>
            <a:xfrm>
              <a:off x="15059025" y="5676900"/>
              <a:ext cx="2210990" cy="2965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800" i="0">
                  <a:latin typeface="Cambria Math" panose="02040503050406030204" pitchFamily="18" charset="0"/>
                </a:rPr>
                <a:t>𝐹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en-US" sz="1800" i="0">
                  <a:latin typeface="Cambria Math" panose="02040503050406030204" pitchFamily="18" charset="0"/>
                </a:rPr>
                <a:t>𝑡+ℎ)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800" i="0">
                  <a:latin typeface="Cambria Math" panose="02040503050406030204" pitchFamily="18" charset="0"/>
                </a:rPr>
                <a:t>=𝐿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en-US" sz="1800" i="0">
                  <a:latin typeface="Cambria Math" panose="02040503050406030204" pitchFamily="18" charset="0"/>
                </a:rPr>
                <a:t>𝑡)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800" i="0">
                  <a:latin typeface="Cambria Math" panose="02040503050406030204" pitchFamily="18" charset="0"/>
                </a:rPr>
                <a:t>+ℎ⋅𝑇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en-US" sz="1800" i="0">
                  <a:latin typeface="Cambria Math" panose="02040503050406030204" pitchFamily="18" charset="0"/>
                </a:rPr>
                <a:t>𝑡)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18</xdr:col>
      <xdr:colOff>584200</xdr:colOff>
      <xdr:row>25</xdr:row>
      <xdr:rowOff>114300</xdr:rowOff>
    </xdr:from>
    <xdr:ext cx="4730749" cy="316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00E54A8-5687-4ED3-9D49-93501D37CEEA}"/>
                </a:ext>
              </a:extLst>
            </xdr:cNvPr>
            <xdr:cNvSpPr txBox="1"/>
          </xdr:nvSpPr>
          <xdr:spPr>
            <a:xfrm>
              <a:off x="14344650" y="4718050"/>
              <a:ext cx="4730749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d>
                          <m:d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18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i="1"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US" sz="1800" i="0">
                        <a:latin typeface="Cambria Math" panose="02040503050406030204" pitchFamily="18" charset="0"/>
                      </a:rPr>
                      <m:t>⋅</m:t>
                    </m:r>
                    <m:d>
                      <m:d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d>
                              <m:dPr>
                                <m:ctrlPr>
                                  <a:rPr lang="en-US" sz="18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  <m:r>
                                  <a:rPr lang="en-US" sz="1800" i="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e>
                            </m:d>
                          </m:sub>
                        </m:sSub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d>
                              <m:dPr>
                                <m:ctrlPr>
                                  <a:rPr lang="en-US" sz="18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  <m:r>
                                  <a:rPr lang="en-US" sz="1800" i="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e>
                            </m:d>
                          </m:sub>
                        </m:sSub>
                      </m:e>
                    </m:d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00E54A8-5687-4ED3-9D49-93501D37CEEA}"/>
                </a:ext>
              </a:extLst>
            </xdr:cNvPr>
            <xdr:cNvSpPr txBox="1"/>
          </xdr:nvSpPr>
          <xdr:spPr>
            <a:xfrm>
              <a:off x="14344650" y="4718050"/>
              <a:ext cx="4730749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8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𝐿_</a:t>
              </a:r>
              <a:r>
                <a:rPr lang="en-US" sz="1800" i="0">
                  <a:latin typeface="Cambria Math" panose="02040503050406030204" pitchFamily="18" charset="0"/>
                </a:rPr>
                <a:t>𝑡=</a:t>
              </a:r>
              <a:r>
                <a:rPr lang="en-US" sz="18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𝐿_((</a:t>
              </a:r>
              <a:r>
                <a:rPr lang="en-US" sz="1800" i="0">
                  <a:latin typeface="Cambria Math" panose="02040503050406030204" pitchFamily="18" charset="0"/>
                </a:rPr>
                <a:t>𝑡−1)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800" i="0">
                  <a:latin typeface="Cambria Math" panose="02040503050406030204" pitchFamily="18" charset="0"/>
                </a:rPr>
                <a:t>+𝛼⋅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800" i="0">
                  <a:latin typeface="Cambria Math" panose="02040503050406030204" pitchFamily="18" charset="0"/>
                </a:rPr>
                <a:t>𝐴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en-US" sz="1800" i="0">
                  <a:latin typeface="Cambria Math" panose="02040503050406030204" pitchFamily="18" charset="0"/>
                </a:rPr>
                <a:t>𝑡−1)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800" i="0">
                  <a:latin typeface="Cambria Math" panose="02040503050406030204" pitchFamily="18" charset="0"/>
                </a:rPr>
                <a:t>−</a:t>
              </a:r>
              <a:r>
                <a:rPr lang="en-US" sz="18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𝐿_((</a:t>
              </a:r>
              <a:r>
                <a:rPr lang="en-US" sz="1800" i="0">
                  <a:latin typeface="Cambria Math" panose="02040503050406030204" pitchFamily="18" charset="0"/>
                </a:rPr>
                <a:t>𝑡−1)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)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20</xdr:col>
      <xdr:colOff>79375</xdr:colOff>
      <xdr:row>19</xdr:row>
      <xdr:rowOff>127000</xdr:rowOff>
    </xdr:from>
    <xdr:ext cx="906915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5245185-040A-A6E8-DAF0-ED11C586E80A}"/>
                </a:ext>
              </a:extLst>
            </xdr:cNvPr>
            <xdr:cNvSpPr txBox="1"/>
          </xdr:nvSpPr>
          <xdr:spPr>
            <a:xfrm>
              <a:off x="15059025" y="3625850"/>
              <a:ext cx="90691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20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20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20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5245185-040A-A6E8-DAF0-ED11C586E80A}"/>
                </a:ext>
              </a:extLst>
            </xdr:cNvPr>
            <xdr:cNvSpPr txBox="1"/>
          </xdr:nvSpPr>
          <xdr:spPr>
            <a:xfrm>
              <a:off x="15059025" y="3625850"/>
              <a:ext cx="906915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i="0">
                  <a:latin typeface="Cambria Math" panose="02040503050406030204" pitchFamily="18" charset="0"/>
                </a:rPr>
                <a:t>𝐿</a:t>
              </a:r>
              <a:r>
                <a:rPr lang="en-US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2000" i="0">
                  <a:latin typeface="Cambria Math" panose="02040503050406030204" pitchFamily="18" charset="0"/>
                </a:rPr>
                <a:t>1=𝐴</a:t>
              </a:r>
              <a:r>
                <a:rPr lang="en-US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2000" i="0">
                  <a:latin typeface="Cambria Math" panose="02040503050406030204" pitchFamily="18" charset="0"/>
                </a:rPr>
                <a:t>1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20</xdr:col>
      <xdr:colOff>85725</xdr:colOff>
      <xdr:row>21</xdr:row>
      <xdr:rowOff>127000</xdr:rowOff>
    </xdr:from>
    <xdr:ext cx="1334404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D9FAA00-BCCF-47EA-BA9E-E0D552528929}"/>
                </a:ext>
              </a:extLst>
            </xdr:cNvPr>
            <xdr:cNvSpPr txBox="1"/>
          </xdr:nvSpPr>
          <xdr:spPr>
            <a:xfrm>
              <a:off x="15065375" y="3994150"/>
              <a:ext cx="1334404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800" i="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8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D9FAA00-BCCF-47EA-BA9E-E0D552528929}"/>
                </a:ext>
              </a:extLst>
            </xdr:cNvPr>
            <xdr:cNvSpPr txBox="1"/>
          </xdr:nvSpPr>
          <xdr:spPr>
            <a:xfrm>
              <a:off x="15065375" y="3994150"/>
              <a:ext cx="1334404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𝑇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1=𝐴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2−𝐴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1</a:t>
              </a:r>
              <a:endParaRPr lang="en-US" sz="1800"/>
            </a:p>
          </xdr:txBody>
        </xdr:sp>
      </mc:Fallback>
    </mc:AlternateContent>
    <xdr:clientData/>
  </xdr:oneCellAnchor>
  <xdr:twoCellAnchor>
    <xdr:from>
      <xdr:col>20</xdr:col>
      <xdr:colOff>82550</xdr:colOff>
      <xdr:row>7</xdr:row>
      <xdr:rowOff>69850</xdr:rowOff>
    </xdr:from>
    <xdr:to>
      <xdr:col>26</xdr:col>
      <xdr:colOff>438150</xdr:colOff>
      <xdr:row>9</xdr:row>
      <xdr:rowOff>88900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E225059-A122-B0F2-9DF7-94A9C5B29F8B}"/>
            </a:ext>
          </a:extLst>
        </xdr:cNvPr>
        <xdr:cNvSpPr txBox="1"/>
      </xdr:nvSpPr>
      <xdr:spPr>
        <a:xfrm>
          <a:off x="15062200" y="1358900"/>
          <a:ext cx="4013200" cy="38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Simple Exponential</a:t>
          </a:r>
          <a:r>
            <a:rPr lang="en-US" sz="1600" b="1" baseline="0"/>
            <a:t> Smoothing</a:t>
          </a:r>
          <a:endParaRPr lang="en-US" sz="1600" b="1"/>
        </a:p>
      </xdr:txBody>
    </xdr:sp>
    <xdr:clientData/>
  </xdr:twoCellAnchor>
  <xdr:twoCellAnchor>
    <xdr:from>
      <xdr:col>20</xdr:col>
      <xdr:colOff>88900</xdr:colOff>
      <xdr:row>17</xdr:row>
      <xdr:rowOff>63500</xdr:rowOff>
    </xdr:from>
    <xdr:to>
      <xdr:col>26</xdr:col>
      <xdr:colOff>444500</xdr:colOff>
      <xdr:row>19</xdr:row>
      <xdr:rowOff>82550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F3EC69-634B-4DCA-A7DB-17C547557B07}"/>
            </a:ext>
          </a:extLst>
        </xdr:cNvPr>
        <xdr:cNvSpPr txBox="1"/>
      </xdr:nvSpPr>
      <xdr:spPr>
        <a:xfrm>
          <a:off x="15068550" y="3194050"/>
          <a:ext cx="4013200" cy="38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Double Exponential</a:t>
          </a:r>
          <a:r>
            <a:rPr lang="en-US" sz="1600" b="1" baseline="0"/>
            <a:t> Smoothing</a:t>
          </a:r>
          <a:endParaRPr lang="en-US" sz="1600" b="1"/>
        </a:p>
      </xdr:txBody>
    </xdr:sp>
    <xdr:clientData/>
  </xdr:twoCellAnchor>
  <xdr:oneCellAnchor>
    <xdr:from>
      <xdr:col>28</xdr:col>
      <xdr:colOff>511175</xdr:colOff>
      <xdr:row>21</xdr:row>
      <xdr:rowOff>44450</xdr:rowOff>
    </xdr:from>
    <xdr:ext cx="1222321" cy="7788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87E7DBB-8B17-92ED-32B7-507A466C76E2}"/>
                </a:ext>
              </a:extLst>
            </xdr:cNvPr>
            <xdr:cNvSpPr txBox="1"/>
          </xdr:nvSpPr>
          <xdr:spPr>
            <a:xfrm>
              <a:off x="20367625" y="4413250"/>
              <a:ext cx="1222321" cy="778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grow m:val="on"/>
                            <m:subHide m:val="on"/>
                            <m:supHide m:val="on"/>
                            <m:ctrlPr>
                              <a:rPr lang="en-US" sz="18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8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8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8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i="1">
                                            <a:latin typeface="Cambria Math" panose="02040503050406030204" pitchFamily="18" charset="0"/>
                                          </a:rPr>
                                          <m:t>𝐴</m:t>
                                        </m:r>
                                      </m:e>
                                      <m:sub>
                                        <m:r>
                                          <a:rPr lang="en-US" sz="18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800" i="0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8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US" sz="18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8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i="1">
                                            <a:latin typeface="Cambria Math" panose="02040503050406030204" pitchFamily="18" charset="0"/>
                                          </a:rPr>
                                          <m:t>𝐴</m:t>
                                        </m:r>
                                      </m:e>
                                      <m:sub>
                                        <m:r>
                                          <a:rPr lang="en-US" sz="18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</m:nary>
                      </m:num>
                      <m:den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87E7DBB-8B17-92ED-32B7-507A466C76E2}"/>
                </a:ext>
              </a:extLst>
            </xdr:cNvPr>
            <xdr:cNvSpPr txBox="1"/>
          </xdr:nvSpPr>
          <xdr:spPr>
            <a:xfrm>
              <a:off x="20367625" y="4413250"/>
              <a:ext cx="1222321" cy="7788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(∑128▒|(</a:t>
              </a:r>
              <a:r>
                <a:rPr lang="en-US" sz="1800" i="0">
                  <a:latin typeface="Cambria Math" panose="02040503050406030204" pitchFamily="18" charset="0"/>
                </a:rPr>
                <a:t>𝐴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𝑖−𝐹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𝑖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US" sz="1800" i="0">
                  <a:latin typeface="Cambria Math" panose="02040503050406030204" pitchFamily="18" charset="0"/>
                </a:rPr>
                <a:t>𝐴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800" i="0">
                  <a:latin typeface="Cambria Math" panose="02040503050406030204" pitchFamily="18" charset="0"/>
                </a:rPr>
                <a:t>𝑖 | </a:t>
              </a:r>
              <a:r>
                <a:rPr lang="en-US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US" sz="1800" i="0">
                  <a:latin typeface="Cambria Math" panose="02040503050406030204" pitchFamily="18" charset="0"/>
                </a:rPr>
                <a:t>𝑛</a:t>
              </a:r>
              <a:endParaRPr lang="en-US" sz="1800"/>
            </a:p>
          </xdr:txBody>
        </xdr:sp>
      </mc:Fallback>
    </mc:AlternateContent>
    <xdr:clientData/>
  </xdr:oneCellAnchor>
  <xdr:twoCellAnchor>
    <xdr:from>
      <xdr:col>28</xdr:col>
      <xdr:colOff>323850</xdr:colOff>
      <xdr:row>18</xdr:row>
      <xdr:rowOff>114300</xdr:rowOff>
    </xdr:from>
    <xdr:to>
      <xdr:col>33</xdr:col>
      <xdr:colOff>444500</xdr:colOff>
      <xdr:row>20</xdr:row>
      <xdr:rowOff>234950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7358778-4955-4A1A-86D5-8638BF83556C}"/>
            </a:ext>
          </a:extLst>
        </xdr:cNvPr>
        <xdr:cNvSpPr txBox="1"/>
      </xdr:nvSpPr>
      <xdr:spPr>
        <a:xfrm>
          <a:off x="20180300" y="3848100"/>
          <a:ext cx="4013200" cy="48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MAPE</a:t>
          </a:r>
        </a:p>
      </xdr:txBody>
    </xdr:sp>
    <xdr:clientData/>
  </xdr:twoCellAnchor>
  <xdr:twoCellAnchor>
    <xdr:from>
      <xdr:col>28</xdr:col>
      <xdr:colOff>38100</xdr:colOff>
      <xdr:row>31</xdr:row>
      <xdr:rowOff>19050</xdr:rowOff>
    </xdr:from>
    <xdr:to>
      <xdr:col>34</xdr:col>
      <xdr:colOff>349250</xdr:colOff>
      <xdr:row>40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540697F-B859-4647-84D9-38D9A62120FF}"/>
            </a:ext>
          </a:extLst>
        </xdr:cNvPr>
        <xdr:cNvSpPr/>
      </xdr:nvSpPr>
      <xdr:spPr>
        <a:xfrm>
          <a:off x="19894550" y="6229350"/>
          <a:ext cx="4813300" cy="17716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260350</xdr:colOff>
      <xdr:row>32</xdr:row>
      <xdr:rowOff>82550</xdr:rowOff>
    </xdr:from>
    <xdr:to>
      <xdr:col>33</xdr:col>
      <xdr:colOff>381000</xdr:colOff>
      <xdr:row>35</xdr:row>
      <xdr:rowOff>19050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0DB7EEA-A09D-4CC8-8D8F-FB6D256AF16C}"/>
            </a:ext>
          </a:extLst>
        </xdr:cNvPr>
        <xdr:cNvSpPr txBox="1"/>
      </xdr:nvSpPr>
      <xdr:spPr>
        <a:xfrm>
          <a:off x="20116800" y="6477000"/>
          <a:ext cx="4013200" cy="48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RMSE</a:t>
          </a:r>
        </a:p>
      </xdr:txBody>
    </xdr:sp>
    <xdr:clientData/>
  </xdr:twoCellAnchor>
  <xdr:oneCellAnchor>
    <xdr:from>
      <xdr:col>28</xdr:col>
      <xdr:colOff>422275</xdr:colOff>
      <xdr:row>35</xdr:row>
      <xdr:rowOff>50800</xdr:rowOff>
    </xdr:from>
    <xdr:ext cx="1519775" cy="909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185EC6B-3EF9-3E6D-B7CF-A61021E13DD9}"/>
                </a:ext>
              </a:extLst>
            </xdr:cNvPr>
            <xdr:cNvSpPr txBox="1"/>
          </xdr:nvSpPr>
          <xdr:spPr>
            <a:xfrm>
              <a:off x="20278725" y="6997700"/>
              <a:ext cx="1519775" cy="909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20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20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grow m:val="on"/>
                                <m:subHide m:val="on"/>
                                <m:supHide m:val="on"/>
                                <m:ctrlPr>
                                  <a:rPr lang="en-US" sz="20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p>
                                  <m:sSupPr>
                                    <m:ctrlPr>
                                      <a:rPr lang="en-US" sz="20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20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US" sz="2000" i="1">
                                                <a:solidFill>
                                                  <a:srgbClr val="836967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2000" i="1">
                                                <a:latin typeface="Cambria Math" panose="02040503050406030204" pitchFamily="18" charset="0"/>
                                              </a:rPr>
                                              <m:t>𝐴</m:t>
                                            </m:r>
                                          </m:e>
                                          <m:sub>
                                            <m:r>
                                              <a:rPr lang="en-US" sz="200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  <m:r>
                                          <a:rPr lang="en-US" sz="2000" i="0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lang="en-US" sz="2000" i="1">
                                                <a:solidFill>
                                                  <a:srgbClr val="836967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20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US" sz="200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lang="en-US" sz="2000" i="0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nary>
                          </m:num>
                          <m:den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185EC6B-3EF9-3E6D-B7CF-A61021E13DD9}"/>
                </a:ext>
              </a:extLst>
            </xdr:cNvPr>
            <xdr:cNvSpPr txBox="1"/>
          </xdr:nvSpPr>
          <xdr:spPr>
            <a:xfrm>
              <a:off x="20278725" y="6997700"/>
              <a:ext cx="1519775" cy="909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√((∑128▒(</a:t>
              </a:r>
              <a:r>
                <a:rPr lang="en-US" sz="2000" i="0">
                  <a:latin typeface="Cambria Math" panose="02040503050406030204" pitchFamily="18" charset="0"/>
                </a:rPr>
                <a:t>𝐴</a:t>
              </a:r>
              <a:r>
                <a:rPr lang="en-US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2000" i="0">
                  <a:latin typeface="Cambria Math" panose="02040503050406030204" pitchFamily="18" charset="0"/>
                </a:rPr>
                <a:t>𝑖−𝐹</a:t>
              </a:r>
              <a:r>
                <a:rPr lang="en-US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2000" i="0">
                  <a:latin typeface="Cambria Math" panose="02040503050406030204" pitchFamily="18" charset="0"/>
                </a:rPr>
                <a:t>𝑖 )</a:t>
              </a:r>
              <a:r>
                <a:rPr lang="en-US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2000" i="0">
                  <a:latin typeface="Cambria Math" panose="02040503050406030204" pitchFamily="18" charset="0"/>
                </a:rPr>
                <a:t>2 </a:t>
              </a:r>
              <a:r>
                <a:rPr lang="en-US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US" sz="2000" i="0">
                  <a:latin typeface="Cambria Math" panose="02040503050406030204" pitchFamily="18" charset="0"/>
                </a:rPr>
                <a:t>𝑛</a:t>
              </a:r>
              <a:r>
                <a:rPr lang="en-US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US" sz="20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7</xdr:row>
      <xdr:rowOff>60960</xdr:rowOff>
    </xdr:from>
    <xdr:to>
      <xdr:col>17</xdr:col>
      <xdr:colOff>129540</xdr:colOff>
      <xdr:row>29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7AAC8-840B-AE14-B532-1B4EF4B22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7C17-B32B-4B7D-A4D5-09B52B198E2A}">
  <dimension ref="A1:Q185"/>
  <sheetViews>
    <sheetView defaultGridColor="0" topLeftCell="A99" colorId="55" zoomScale="101" zoomScaleNormal="43" workbookViewId="0">
      <selection activeCell="D3" sqref="D3"/>
    </sheetView>
  </sheetViews>
  <sheetFormatPr defaultColWidth="8.77734375" defaultRowHeight="14.4" x14ac:dyDescent="0.3"/>
  <cols>
    <col min="1" max="1" width="15.77734375" bestFit="1" customWidth="1"/>
    <col min="2" max="2" width="9.33203125" bestFit="1" customWidth="1"/>
    <col min="4" max="4" width="16.77734375" bestFit="1" customWidth="1"/>
    <col min="5" max="6" width="14.44140625" customWidth="1"/>
    <col min="7" max="7" width="10.33203125" bestFit="1" customWidth="1"/>
    <col min="9" max="9" width="9" bestFit="1" customWidth="1"/>
    <col min="10" max="10" width="18.6640625" bestFit="1" customWidth="1"/>
    <col min="11" max="11" width="16.77734375" bestFit="1" customWidth="1"/>
    <col min="12" max="12" width="11.109375" bestFit="1" customWidth="1"/>
    <col min="13" max="13" width="20.44140625" bestFit="1" customWidth="1"/>
  </cols>
  <sheetData>
    <row r="1" spans="1:17" ht="24" thickBot="1" x14ac:dyDescent="0.5">
      <c r="A1" s="48" t="s">
        <v>15</v>
      </c>
      <c r="B1" s="49"/>
      <c r="C1" s="49"/>
      <c r="D1" s="49"/>
      <c r="E1" s="49"/>
      <c r="F1" s="49"/>
      <c r="G1" s="49"/>
    </row>
    <row r="2" spans="1:17" s="3" customFormat="1" ht="15" thickBot="1" x14ac:dyDescent="0.35">
      <c r="A2" s="46" t="s">
        <v>0</v>
      </c>
      <c r="B2" s="47"/>
      <c r="C2" s="47"/>
      <c r="D2" s="47"/>
      <c r="E2" s="47"/>
      <c r="F2" s="35" t="s">
        <v>18</v>
      </c>
      <c r="G2" s="36"/>
      <c r="H2" s="35" t="s">
        <v>19</v>
      </c>
      <c r="I2" s="36"/>
    </row>
    <row r="3" spans="1:17" x14ac:dyDescent="0.3">
      <c r="A3" s="2" t="s">
        <v>16</v>
      </c>
      <c r="B3" s="2" t="s">
        <v>1</v>
      </c>
      <c r="C3" s="2" t="s">
        <v>2</v>
      </c>
      <c r="D3" s="2" t="s">
        <v>17</v>
      </c>
      <c r="E3" s="2" t="s">
        <v>20</v>
      </c>
      <c r="F3" s="2"/>
      <c r="G3" s="2" t="s">
        <v>21</v>
      </c>
      <c r="H3" s="2" t="s">
        <v>23</v>
      </c>
      <c r="I3" s="2" t="s">
        <v>24</v>
      </c>
      <c r="K3" s="2" t="s">
        <v>22</v>
      </c>
      <c r="L3" s="2" t="s">
        <v>23</v>
      </c>
      <c r="M3" s="2" t="s">
        <v>25</v>
      </c>
    </row>
    <row r="4" spans="1:17" x14ac:dyDescent="0.3">
      <c r="A4" s="4">
        <v>40179</v>
      </c>
      <c r="B4" s="5">
        <v>1</v>
      </c>
      <c r="C4" s="5" t="s">
        <v>3</v>
      </c>
      <c r="D4" s="6">
        <v>30481</v>
      </c>
      <c r="E4" s="7">
        <f>$F$4*B4 + $H$4</f>
        <v>31117.033469249061</v>
      </c>
      <c r="F4">
        <f>SLOPE(D4:D111,B4:B111)</f>
        <v>206.86662951213239</v>
      </c>
      <c r="G4" s="37">
        <f>D4/E4</f>
        <v>0.97955995805713258</v>
      </c>
      <c r="H4" s="7">
        <f>INTERCEPT(D4:D111,B4:B111)</f>
        <v>30910.166839736929</v>
      </c>
      <c r="I4" s="7">
        <f>VLOOKUP(C4,$P$6:$Q$17,2,FALSE)</f>
        <v>0.94152260503870033</v>
      </c>
      <c r="J4">
        <f>E4*I4</f>
        <v>29297.390413043802</v>
      </c>
      <c r="K4" s="37">
        <f>D4-E4</f>
        <v>-636.03346924906145</v>
      </c>
      <c r="L4" s="7">
        <f>VLOOKUP(C4,$P$21:$Q$32,2,FALSE)</f>
        <v>-2535.931462904211</v>
      </c>
      <c r="M4" s="7">
        <f>E4+L4</f>
        <v>28581.102006344852</v>
      </c>
    </row>
    <row r="5" spans="1:17" x14ac:dyDescent="0.3">
      <c r="A5" s="4">
        <v>40210</v>
      </c>
      <c r="B5" s="5">
        <v>2</v>
      </c>
      <c r="C5" s="5" t="s">
        <v>4</v>
      </c>
      <c r="D5" s="6">
        <v>30076</v>
      </c>
      <c r="E5" s="7">
        <f t="shared" ref="E5:E68" si="0">$F$4*B5 + $H$4</f>
        <v>31323.900098761194</v>
      </c>
      <c r="G5" s="37">
        <f t="shared" ref="G5:G68" si="1">D5/E5</f>
        <v>0.96016140726963473</v>
      </c>
      <c r="H5" s="7"/>
      <c r="I5" s="7">
        <f t="shared" ref="I5:I68" si="2">VLOOKUP(C5,$P$6:$Q$17,2,FALSE)</f>
        <v>0.93397523590397658</v>
      </c>
      <c r="J5">
        <f t="shared" ref="J5:J68" si="3">E5*I5</f>
        <v>29255.746984173082</v>
      </c>
      <c r="K5" s="37">
        <f>D5-E5</f>
        <v>-1247.9000987611944</v>
      </c>
      <c r="L5" s="7">
        <f t="shared" ref="L5:L68" si="4">VLOOKUP(C5,$P$21:$Q$32,2,FALSE)</f>
        <v>-2877.4980924163419</v>
      </c>
      <c r="M5" s="7">
        <f t="shared" ref="M5:M68" si="5">E5+L5</f>
        <v>28446.402006344852</v>
      </c>
      <c r="Q5" s="2" t="s">
        <v>26</v>
      </c>
    </row>
    <row r="6" spans="1:17" x14ac:dyDescent="0.3">
      <c r="A6" s="4">
        <v>40238</v>
      </c>
      <c r="B6" s="5">
        <v>3</v>
      </c>
      <c r="C6" s="5" t="s">
        <v>5</v>
      </c>
      <c r="D6" s="6">
        <v>33645</v>
      </c>
      <c r="E6" s="7">
        <f t="shared" si="0"/>
        <v>31530.766728273327</v>
      </c>
      <c r="G6" s="37">
        <f t="shared" si="1"/>
        <v>1.0670530244299725</v>
      </c>
      <c r="H6" s="7"/>
      <c r="I6" s="7">
        <f t="shared" si="2"/>
        <v>1.0562766574660145</v>
      </c>
      <c r="J6">
        <f t="shared" si="3"/>
        <v>33305.212887081172</v>
      </c>
      <c r="K6" s="37">
        <f t="shared" ref="K6:K68" si="6">D6-E6</f>
        <v>2114.2332717266727</v>
      </c>
      <c r="L6" s="7">
        <f t="shared" si="4"/>
        <v>2400.335278071524</v>
      </c>
      <c r="M6" s="7">
        <f t="shared" si="5"/>
        <v>33931.102006344852</v>
      </c>
      <c r="P6" t="s">
        <v>3</v>
      </c>
      <c r="Q6" s="7">
        <f>AVERAGEIF(C:C,"Jan",G:G)</f>
        <v>0.94152260503870033</v>
      </c>
    </row>
    <row r="7" spans="1:17" x14ac:dyDescent="0.3">
      <c r="A7" s="4">
        <v>40269</v>
      </c>
      <c r="B7" s="5">
        <v>4</v>
      </c>
      <c r="C7" s="5" t="s">
        <v>6</v>
      </c>
      <c r="D7" s="6">
        <v>33287</v>
      </c>
      <c r="E7" s="7">
        <f t="shared" si="0"/>
        <v>31737.633357785457</v>
      </c>
      <c r="G7" s="37">
        <f t="shared" si="1"/>
        <v>1.0488179639845285</v>
      </c>
      <c r="H7" s="7"/>
      <c r="I7" s="7">
        <f t="shared" si="2"/>
        <v>1.016503267626979</v>
      </c>
      <c r="J7">
        <f t="shared" si="3"/>
        <v>32261.408014935925</v>
      </c>
      <c r="K7" s="37">
        <f t="shared" si="6"/>
        <v>1549.3666422145434</v>
      </c>
      <c r="L7" s="7">
        <f t="shared" si="4"/>
        <v>667.06864855939386</v>
      </c>
      <c r="M7" s="7">
        <f t="shared" si="5"/>
        <v>32404.702006344851</v>
      </c>
      <c r="P7" t="s">
        <v>4</v>
      </c>
      <c r="Q7" s="7">
        <f>AVERAGEIF(C:C,"Feb",G:G)</f>
        <v>0.93397523590397658</v>
      </c>
    </row>
    <row r="8" spans="1:17" x14ac:dyDescent="0.3">
      <c r="A8" s="4">
        <v>40299</v>
      </c>
      <c r="B8" s="5">
        <v>5</v>
      </c>
      <c r="C8" s="5" t="s">
        <v>7</v>
      </c>
      <c r="D8" s="6">
        <v>34623</v>
      </c>
      <c r="E8" s="7">
        <f t="shared" si="0"/>
        <v>31944.49998729759</v>
      </c>
      <c r="G8" s="37">
        <f t="shared" si="1"/>
        <v>1.0838485502595905</v>
      </c>
      <c r="H8" s="7"/>
      <c r="I8" s="7">
        <f t="shared" si="2"/>
        <v>1.0607045000422339</v>
      </c>
      <c r="J8">
        <f t="shared" si="3"/>
        <v>33883.674888125635</v>
      </c>
      <c r="K8" s="37">
        <f t="shared" si="6"/>
        <v>2678.5000127024105</v>
      </c>
      <c r="L8" s="7">
        <f t="shared" si="4"/>
        <v>2632.5020190472605</v>
      </c>
      <c r="M8" s="7">
        <f t="shared" si="5"/>
        <v>34577.002006344846</v>
      </c>
      <c r="P8" t="s">
        <v>5</v>
      </c>
      <c r="Q8" s="7">
        <f>AVERAGEIF(C:C,"Mar",G:G)</f>
        <v>1.0562766574660145</v>
      </c>
    </row>
    <row r="9" spans="1:17" x14ac:dyDescent="0.3">
      <c r="A9" s="4">
        <v>40330</v>
      </c>
      <c r="B9" s="5">
        <v>6</v>
      </c>
      <c r="C9" s="5" t="s">
        <v>8</v>
      </c>
      <c r="D9" s="6">
        <v>33595</v>
      </c>
      <c r="E9" s="7">
        <f t="shared" si="0"/>
        <v>32151.366616809722</v>
      </c>
      <c r="G9" s="37">
        <f t="shared" si="1"/>
        <v>1.0449011514936819</v>
      </c>
      <c r="H9" s="7"/>
      <c r="I9" s="7">
        <f t="shared" si="2"/>
        <v>1.0286640393653166</v>
      </c>
      <c r="J9">
        <f t="shared" si="3"/>
        <v>33072.954655162685</v>
      </c>
      <c r="K9" s="37">
        <f t="shared" si="6"/>
        <v>1443.6333831902775</v>
      </c>
      <c r="L9" s="7">
        <f t="shared" si="4"/>
        <v>1294.5353895351273</v>
      </c>
      <c r="M9" s="7">
        <f t="shared" si="5"/>
        <v>33445.902006344848</v>
      </c>
      <c r="P9" t="s">
        <v>6</v>
      </c>
      <c r="Q9" s="7">
        <f>AVERAGEIF(C:C,"Apr",G:G)</f>
        <v>1.016503267626979</v>
      </c>
    </row>
    <row r="10" spans="1:17" x14ac:dyDescent="0.3">
      <c r="A10" s="4">
        <v>40360</v>
      </c>
      <c r="B10" s="5">
        <v>7</v>
      </c>
      <c r="C10" s="5" t="s">
        <v>9</v>
      </c>
      <c r="D10" s="6">
        <v>35062</v>
      </c>
      <c r="E10" s="7">
        <f t="shared" si="0"/>
        <v>32358.233246321855</v>
      </c>
      <c r="G10" s="37">
        <f t="shared" si="1"/>
        <v>1.0835573046617273</v>
      </c>
      <c r="H10" s="7"/>
      <c r="I10" s="7">
        <f t="shared" si="2"/>
        <v>1.0419379030702278</v>
      </c>
      <c r="J10">
        <f t="shared" si="3"/>
        <v>33715.269695729927</v>
      </c>
      <c r="K10" s="37">
        <f t="shared" si="6"/>
        <v>2703.7667536781446</v>
      </c>
      <c r="L10" s="7">
        <f t="shared" si="4"/>
        <v>1825.9687600229961</v>
      </c>
      <c r="M10" s="7">
        <f t="shared" si="5"/>
        <v>34184.202006344851</v>
      </c>
      <c r="P10" t="s">
        <v>7</v>
      </c>
      <c r="Q10" s="7">
        <f>AVERAGEIF(C:C,"May",G:G)</f>
        <v>1.0607045000422339</v>
      </c>
    </row>
    <row r="11" spans="1:17" x14ac:dyDescent="0.3">
      <c r="A11" s="4">
        <v>40391</v>
      </c>
      <c r="B11" s="5">
        <v>8</v>
      </c>
      <c r="C11" s="5" t="s">
        <v>10</v>
      </c>
      <c r="D11" s="6">
        <v>34358</v>
      </c>
      <c r="E11" s="7">
        <f t="shared" si="0"/>
        <v>32565.099875833988</v>
      </c>
      <c r="G11" s="37">
        <f t="shared" si="1"/>
        <v>1.0550558767208478</v>
      </c>
      <c r="H11" s="7"/>
      <c r="I11" s="7">
        <f t="shared" si="2"/>
        <v>1.0210721918922554</v>
      </c>
      <c r="J11">
        <f t="shared" si="3"/>
        <v>33251.317909408026</v>
      </c>
      <c r="K11" s="37">
        <f t="shared" si="6"/>
        <v>1792.9001241660117</v>
      </c>
      <c r="L11" s="7">
        <f t="shared" si="4"/>
        <v>1024.102130510862</v>
      </c>
      <c r="M11" s="7">
        <f t="shared" si="5"/>
        <v>33589.202006344851</v>
      </c>
      <c r="P11" t="s">
        <v>8</v>
      </c>
      <c r="Q11" s="7">
        <f>AVERAGEIF(C:C,"Jun",G:G)</f>
        <v>1.0286640393653166</v>
      </c>
    </row>
    <row r="12" spans="1:17" x14ac:dyDescent="0.3">
      <c r="A12" s="4">
        <v>40422</v>
      </c>
      <c r="B12" s="5">
        <v>9</v>
      </c>
      <c r="C12" s="5" t="s">
        <v>11</v>
      </c>
      <c r="D12" s="6">
        <v>31780</v>
      </c>
      <c r="E12" s="7">
        <f t="shared" si="0"/>
        <v>32771.966505346121</v>
      </c>
      <c r="G12" s="37">
        <f t="shared" si="1"/>
        <v>0.96973124865167004</v>
      </c>
      <c r="H12" s="7"/>
      <c r="I12" s="7">
        <f t="shared" si="2"/>
        <v>0.95852450332883099</v>
      </c>
      <c r="J12">
        <f t="shared" si="3"/>
        <v>31412.732917645975</v>
      </c>
      <c r="K12" s="37">
        <f t="shared" si="6"/>
        <v>-991.96650534612127</v>
      </c>
      <c r="L12" s="7">
        <f t="shared" si="4"/>
        <v>-1800.7644990012691</v>
      </c>
      <c r="M12" s="7">
        <f t="shared" si="5"/>
        <v>30971.202006344851</v>
      </c>
      <c r="P12" t="s">
        <v>9</v>
      </c>
      <c r="Q12" s="7">
        <f>AVERAGEIF(C:C,"Jul",G:G)</f>
        <v>1.0419379030702278</v>
      </c>
    </row>
    <row r="13" spans="1:17" x14ac:dyDescent="0.3">
      <c r="A13" s="4">
        <v>40452</v>
      </c>
      <c r="B13" s="5">
        <v>10</v>
      </c>
      <c r="C13" s="5" t="s">
        <v>12</v>
      </c>
      <c r="D13" s="6">
        <v>33607</v>
      </c>
      <c r="E13" s="7">
        <f t="shared" si="0"/>
        <v>32978.833134858251</v>
      </c>
      <c r="G13" s="37">
        <f t="shared" si="1"/>
        <v>1.019047577049589</v>
      </c>
      <c r="H13" s="7"/>
      <c r="I13" s="7">
        <f t="shared" si="2"/>
        <v>0.99257375628748556</v>
      </c>
      <c r="J13">
        <f t="shared" si="3"/>
        <v>32733.924282644446</v>
      </c>
      <c r="K13" s="37">
        <f t="shared" si="6"/>
        <v>628.16686514174944</v>
      </c>
      <c r="L13" s="7">
        <f t="shared" si="4"/>
        <v>-329.63112851340122</v>
      </c>
      <c r="M13" s="7">
        <f t="shared" si="5"/>
        <v>32649.202006344851</v>
      </c>
      <c r="P13" t="s">
        <v>10</v>
      </c>
      <c r="Q13" s="7">
        <f>AVERAGEIF(C:C,"Aug",G:G)</f>
        <v>1.0210721918922554</v>
      </c>
    </row>
    <row r="14" spans="1:17" x14ac:dyDescent="0.3">
      <c r="A14" s="4">
        <v>40483</v>
      </c>
      <c r="B14" s="5">
        <v>11</v>
      </c>
      <c r="C14" s="5" t="s">
        <v>13</v>
      </c>
      <c r="D14" s="6">
        <v>31563</v>
      </c>
      <c r="E14" s="7">
        <f t="shared" si="0"/>
        <v>33185.699764370387</v>
      </c>
      <c r="G14" s="37">
        <f t="shared" si="1"/>
        <v>0.9511024394274612</v>
      </c>
      <c r="H14" s="7"/>
      <c r="I14" s="7">
        <f t="shared" si="2"/>
        <v>0.95017130759221136</v>
      </c>
      <c r="J14">
        <f t="shared" si="3"/>
        <v>31532.09973847435</v>
      </c>
      <c r="K14" s="37">
        <f t="shared" si="6"/>
        <v>-1622.6997643703871</v>
      </c>
      <c r="L14" s="7">
        <f t="shared" si="4"/>
        <v>-2169.5977580255339</v>
      </c>
      <c r="M14" s="7">
        <f t="shared" si="5"/>
        <v>31016.102006344852</v>
      </c>
      <c r="P14" t="s">
        <v>11</v>
      </c>
      <c r="Q14" s="7">
        <f>AVERAGEIF(C:C,"Sep",G:G)</f>
        <v>0.95852450332883099</v>
      </c>
    </row>
    <row r="15" spans="1:17" x14ac:dyDescent="0.3">
      <c r="A15" s="4">
        <v>40513</v>
      </c>
      <c r="B15" s="5">
        <v>12</v>
      </c>
      <c r="C15" s="5" t="s">
        <v>14</v>
      </c>
      <c r="D15" s="6">
        <v>33849</v>
      </c>
      <c r="E15" s="7">
        <f t="shared" si="0"/>
        <v>33392.566393882516</v>
      </c>
      <c r="G15" s="37">
        <f t="shared" si="1"/>
        <v>1.0136687189817521</v>
      </c>
      <c r="H15" s="7"/>
      <c r="I15" s="7">
        <f t="shared" si="2"/>
        <v>1.0228960447222963</v>
      </c>
      <c r="J15">
        <f t="shared" si="3"/>
        <v>34157.124087429103</v>
      </c>
      <c r="K15" s="37">
        <f t="shared" si="6"/>
        <v>456.43360611748358</v>
      </c>
      <c r="L15" s="7">
        <f t="shared" si="4"/>
        <v>1085.1356124623337</v>
      </c>
      <c r="M15" s="7">
        <f t="shared" si="5"/>
        <v>34477.702006344851</v>
      </c>
      <c r="P15" t="s">
        <v>12</v>
      </c>
      <c r="Q15" s="7">
        <f>AVERAGEIF(C:C,"Oct",G:G)</f>
        <v>0.99257375628748556</v>
      </c>
    </row>
    <row r="16" spans="1:17" x14ac:dyDescent="0.3">
      <c r="A16" s="4">
        <v>40544</v>
      </c>
      <c r="B16" s="5">
        <v>13</v>
      </c>
      <c r="C16" s="5" t="s">
        <v>3</v>
      </c>
      <c r="D16" s="6">
        <v>31763</v>
      </c>
      <c r="E16" s="7">
        <f t="shared" si="0"/>
        <v>33599.433023394653</v>
      </c>
      <c r="G16" s="37">
        <f t="shared" si="1"/>
        <v>0.94534333296291106</v>
      </c>
      <c r="H16" s="7"/>
      <c r="I16" s="7">
        <f t="shared" si="2"/>
        <v>0.94152260503870033</v>
      </c>
      <c r="J16">
        <f t="shared" si="3"/>
        <v>31634.625708009869</v>
      </c>
      <c r="K16" s="37">
        <f t="shared" si="6"/>
        <v>-1836.433023394653</v>
      </c>
      <c r="L16" s="7">
        <f t="shared" si="4"/>
        <v>-2535.931462904211</v>
      </c>
      <c r="M16" s="7">
        <f t="shared" si="5"/>
        <v>31063.50156049044</v>
      </c>
      <c r="P16" t="s">
        <v>13</v>
      </c>
      <c r="Q16" s="7">
        <f>AVERAGEIF(C:C,"Nov",G:G)</f>
        <v>0.95017130759221136</v>
      </c>
    </row>
    <row r="17" spans="1:17" x14ac:dyDescent="0.3">
      <c r="A17" s="4">
        <v>40575</v>
      </c>
      <c r="B17" s="5">
        <v>14</v>
      </c>
      <c r="C17" s="5" t="s">
        <v>4</v>
      </c>
      <c r="D17" s="6">
        <v>31977</v>
      </c>
      <c r="E17" s="7">
        <f t="shared" si="0"/>
        <v>33806.299652906782</v>
      </c>
      <c r="G17" s="37">
        <f t="shared" si="1"/>
        <v>0.9458887937547612</v>
      </c>
      <c r="H17" s="7"/>
      <c r="I17" s="7">
        <f t="shared" si="2"/>
        <v>0.93397523590397658</v>
      </c>
      <c r="J17">
        <f t="shared" si="3"/>
        <v>31574.246693364134</v>
      </c>
      <c r="K17" s="37">
        <f t="shared" si="6"/>
        <v>-1829.2996529067823</v>
      </c>
      <c r="L17" s="7">
        <f t="shared" si="4"/>
        <v>-2877.4980924163419</v>
      </c>
      <c r="M17" s="7">
        <f t="shared" si="5"/>
        <v>30928.801560490439</v>
      </c>
      <c r="P17" t="s">
        <v>14</v>
      </c>
      <c r="Q17" s="7">
        <f>AVERAGEIF(C:C,"Dec",G:G)</f>
        <v>1.0228960447222963</v>
      </c>
    </row>
    <row r="18" spans="1:17" x14ac:dyDescent="0.3">
      <c r="A18" s="4">
        <v>40603</v>
      </c>
      <c r="B18" s="5">
        <v>15</v>
      </c>
      <c r="C18" s="5" t="s">
        <v>5</v>
      </c>
      <c r="D18" s="6">
        <v>35968</v>
      </c>
      <c r="E18" s="7">
        <f t="shared" si="0"/>
        <v>34013.166282418912</v>
      </c>
      <c r="G18" s="37">
        <f t="shared" si="1"/>
        <v>1.0574728533459563</v>
      </c>
      <c r="H18" s="7"/>
      <c r="I18" s="7">
        <f t="shared" si="2"/>
        <v>1.0562766574660145</v>
      </c>
      <c r="J18">
        <f t="shared" si="3"/>
        <v>35927.313590629194</v>
      </c>
      <c r="K18" s="37">
        <f t="shared" si="6"/>
        <v>1954.8337175810884</v>
      </c>
      <c r="L18" s="7">
        <f t="shared" si="4"/>
        <v>2400.335278071524</v>
      </c>
      <c r="M18" s="7">
        <f t="shared" si="5"/>
        <v>36413.501560490433</v>
      </c>
    </row>
    <row r="19" spans="1:17" x14ac:dyDescent="0.3">
      <c r="A19" s="4">
        <v>40634</v>
      </c>
      <c r="B19" s="5">
        <v>16</v>
      </c>
      <c r="C19" s="5" t="s">
        <v>6</v>
      </c>
      <c r="D19" s="6">
        <v>35427</v>
      </c>
      <c r="E19" s="7">
        <f t="shared" si="0"/>
        <v>34220.032911931048</v>
      </c>
      <c r="G19" s="37">
        <f t="shared" si="1"/>
        <v>1.0352707751969501</v>
      </c>
      <c r="H19" s="7"/>
      <c r="I19" s="7">
        <f t="shared" si="2"/>
        <v>1.016503267626979</v>
      </c>
      <c r="J19">
        <f t="shared" si="3"/>
        <v>34784.775273280677</v>
      </c>
      <c r="K19" s="37">
        <f t="shared" si="6"/>
        <v>1206.9670880689519</v>
      </c>
      <c r="L19" s="7">
        <f t="shared" si="4"/>
        <v>667.06864855939386</v>
      </c>
      <c r="M19" s="7">
        <f t="shared" si="5"/>
        <v>34887.101560490439</v>
      </c>
    </row>
    <row r="20" spans="1:17" x14ac:dyDescent="0.3">
      <c r="A20" s="4">
        <v>40664</v>
      </c>
      <c r="B20" s="5">
        <v>17</v>
      </c>
      <c r="C20" s="5" t="s">
        <v>7</v>
      </c>
      <c r="D20" s="6">
        <v>36626</v>
      </c>
      <c r="E20" s="7">
        <f>$F$4*B20 + $H$4</f>
        <v>34426.899541443177</v>
      </c>
      <c r="G20" s="37">
        <f t="shared" si="1"/>
        <v>1.0638773891302509</v>
      </c>
      <c r="H20" s="7"/>
      <c r="I20" s="7">
        <f t="shared" si="2"/>
        <v>1.0607045000422339</v>
      </c>
      <c r="J20">
        <f t="shared" si="3"/>
        <v>36516.767266110699</v>
      </c>
      <c r="K20" s="37">
        <f t="shared" si="6"/>
        <v>2199.1004585568226</v>
      </c>
      <c r="L20" s="7">
        <f t="shared" si="4"/>
        <v>2632.5020190472605</v>
      </c>
      <c r="M20" s="7">
        <f t="shared" si="5"/>
        <v>37059.401560490442</v>
      </c>
      <c r="Q20" s="2" t="s">
        <v>27</v>
      </c>
    </row>
    <row r="21" spans="1:17" x14ac:dyDescent="0.3">
      <c r="A21" s="4">
        <v>40695</v>
      </c>
      <c r="B21" s="5">
        <v>18</v>
      </c>
      <c r="C21" s="5" t="s">
        <v>8</v>
      </c>
      <c r="D21" s="6">
        <v>35886</v>
      </c>
      <c r="E21" s="7">
        <f t="shared" si="0"/>
        <v>34633.766170955314</v>
      </c>
      <c r="G21" s="37">
        <f t="shared" si="1"/>
        <v>1.0361564440570381</v>
      </c>
      <c r="H21" s="7"/>
      <c r="I21" s="7">
        <f t="shared" si="2"/>
        <v>1.0286640393653166</v>
      </c>
      <c r="J21">
        <f t="shared" si="3"/>
        <v>35626.50980784875</v>
      </c>
      <c r="K21" s="37">
        <f t="shared" si="6"/>
        <v>1252.233829044686</v>
      </c>
      <c r="L21" s="7">
        <f t="shared" si="4"/>
        <v>1294.5353895351273</v>
      </c>
      <c r="M21" s="7">
        <f t="shared" si="5"/>
        <v>35928.301560490443</v>
      </c>
      <c r="P21" t="s">
        <v>3</v>
      </c>
      <c r="Q21" s="7">
        <f>AVERAGEIF(C:C,"Jan",K:K)</f>
        <v>-2535.931462904211</v>
      </c>
    </row>
    <row r="22" spans="1:17" x14ac:dyDescent="0.3">
      <c r="A22" s="4">
        <v>40725</v>
      </c>
      <c r="B22" s="5">
        <v>19</v>
      </c>
      <c r="C22" s="5" t="s">
        <v>9</v>
      </c>
      <c r="D22" s="6">
        <v>37246</v>
      </c>
      <c r="E22" s="7">
        <f t="shared" si="0"/>
        <v>34840.632800467443</v>
      </c>
      <c r="G22" s="37">
        <f t="shared" si="1"/>
        <v>1.0690391363815954</v>
      </c>
      <c r="H22" s="7"/>
      <c r="I22" s="7">
        <f t="shared" si="2"/>
        <v>1.0419379030702278</v>
      </c>
      <c r="J22">
        <f t="shared" si="3"/>
        <v>36301.775881758847</v>
      </c>
      <c r="K22" s="37">
        <f t="shared" si="6"/>
        <v>2405.3671995325567</v>
      </c>
      <c r="L22" s="7">
        <f t="shared" si="4"/>
        <v>1825.9687600229961</v>
      </c>
      <c r="M22" s="7">
        <f t="shared" si="5"/>
        <v>36666.601560490439</v>
      </c>
      <c r="P22" t="s">
        <v>4</v>
      </c>
      <c r="Q22" s="7">
        <f>AVERAGEIF(C:C,"Feb",K:K)</f>
        <v>-2877.4980924163419</v>
      </c>
    </row>
    <row r="23" spans="1:17" x14ac:dyDescent="0.3">
      <c r="A23" s="4">
        <v>40756</v>
      </c>
      <c r="B23" s="5">
        <v>20</v>
      </c>
      <c r="C23" s="5" t="s">
        <v>10</v>
      </c>
      <c r="D23" s="6">
        <v>36459</v>
      </c>
      <c r="E23" s="7">
        <f t="shared" si="0"/>
        <v>35047.49942997958</v>
      </c>
      <c r="G23" s="37">
        <f t="shared" si="1"/>
        <v>1.0402739308931417</v>
      </c>
      <c r="H23" s="7"/>
      <c r="I23" s="7">
        <f t="shared" si="2"/>
        <v>1.0210721918922554</v>
      </c>
      <c r="J23">
        <f t="shared" si="3"/>
        <v>35786.02706331182</v>
      </c>
      <c r="K23" s="37">
        <f t="shared" si="6"/>
        <v>1411.5005700204201</v>
      </c>
      <c r="L23" s="7">
        <f t="shared" si="4"/>
        <v>1024.102130510862</v>
      </c>
      <c r="M23" s="7">
        <f t="shared" si="5"/>
        <v>36071.601560490439</v>
      </c>
      <c r="P23" t="s">
        <v>5</v>
      </c>
      <c r="Q23" s="7">
        <f>AVERAGEIF(C:C,"Mar",K:K)</f>
        <v>2400.335278071524</v>
      </c>
    </row>
    <row r="24" spans="1:17" x14ac:dyDescent="0.3">
      <c r="A24" s="4">
        <v>40787</v>
      </c>
      <c r="B24" s="5">
        <v>21</v>
      </c>
      <c r="C24" s="5" t="s">
        <v>11</v>
      </c>
      <c r="D24" s="6">
        <v>34635</v>
      </c>
      <c r="E24" s="7">
        <f t="shared" si="0"/>
        <v>35254.366059491709</v>
      </c>
      <c r="G24" s="37">
        <f t="shared" si="1"/>
        <v>0.98243150767633913</v>
      </c>
      <c r="H24" s="7"/>
      <c r="I24" s="7">
        <f t="shared" si="2"/>
        <v>0.95852450332883099</v>
      </c>
      <c r="J24">
        <f t="shared" si="3"/>
        <v>33792.17371734709</v>
      </c>
      <c r="K24" s="37">
        <f t="shared" si="6"/>
        <v>-619.36605949170917</v>
      </c>
      <c r="L24" s="7">
        <f t="shared" si="4"/>
        <v>-1800.7644990012691</v>
      </c>
      <c r="M24" s="7">
        <f t="shared" si="5"/>
        <v>33453.601560490439</v>
      </c>
      <c r="P24" t="s">
        <v>6</v>
      </c>
      <c r="Q24" s="7">
        <f>AVERAGEIF(C:C,"Apr",K:K)</f>
        <v>667.06864855939386</v>
      </c>
    </row>
    <row r="25" spans="1:17" x14ac:dyDescent="0.3">
      <c r="A25" s="4">
        <v>40817</v>
      </c>
      <c r="B25" s="5">
        <v>22</v>
      </c>
      <c r="C25" s="5" t="s">
        <v>12</v>
      </c>
      <c r="D25" s="6">
        <v>35636</v>
      </c>
      <c r="E25" s="7">
        <f t="shared" si="0"/>
        <v>35461.232689003838</v>
      </c>
      <c r="G25" s="37">
        <f t="shared" si="1"/>
        <v>1.0049284048450564</v>
      </c>
      <c r="H25" s="7"/>
      <c r="I25" s="7">
        <f t="shared" si="2"/>
        <v>0.99257375628748556</v>
      </c>
      <c r="J25">
        <f t="shared" si="3"/>
        <v>35197.888932709109</v>
      </c>
      <c r="K25" s="37">
        <f t="shared" si="6"/>
        <v>174.76731099616154</v>
      </c>
      <c r="L25" s="7">
        <f t="shared" si="4"/>
        <v>-329.63112851340122</v>
      </c>
      <c r="M25" s="7">
        <f t="shared" si="5"/>
        <v>35131.601560490439</v>
      </c>
      <c r="P25" t="s">
        <v>7</v>
      </c>
      <c r="Q25" s="7">
        <f>AVERAGEIF(C:C,"May",K:K)</f>
        <v>2632.5020190472605</v>
      </c>
    </row>
    <row r="26" spans="1:17" x14ac:dyDescent="0.3">
      <c r="A26" s="4">
        <v>40848</v>
      </c>
      <c r="B26" s="5">
        <v>23</v>
      </c>
      <c r="C26" s="5" t="s">
        <v>13</v>
      </c>
      <c r="D26" s="6">
        <v>33583</v>
      </c>
      <c r="E26" s="7">
        <f t="shared" si="0"/>
        <v>35668.099318515975</v>
      </c>
      <c r="G26" s="37">
        <f t="shared" si="1"/>
        <v>0.94154161958852789</v>
      </c>
      <c r="H26" s="7"/>
      <c r="I26" s="7">
        <f t="shared" si="2"/>
        <v>0.95017130759221136</v>
      </c>
      <c r="J26">
        <f t="shared" si="3"/>
        <v>33890.804568803185</v>
      </c>
      <c r="K26" s="37">
        <f t="shared" si="6"/>
        <v>-2085.099318515975</v>
      </c>
      <c r="L26" s="7">
        <f t="shared" si="4"/>
        <v>-2169.5977580255339</v>
      </c>
      <c r="M26" s="7">
        <f t="shared" si="5"/>
        <v>33498.50156049044</v>
      </c>
      <c r="P26" t="s">
        <v>8</v>
      </c>
      <c r="Q26" s="7">
        <f>AVERAGEIF(C:C,"Jun",K:K)</f>
        <v>1294.5353895351273</v>
      </c>
    </row>
    <row r="27" spans="1:17" x14ac:dyDescent="0.3">
      <c r="A27" s="4">
        <v>40878</v>
      </c>
      <c r="B27" s="5">
        <v>24</v>
      </c>
      <c r="C27" s="5" t="s">
        <v>14</v>
      </c>
      <c r="D27" s="6">
        <v>36789</v>
      </c>
      <c r="E27" s="7">
        <f t="shared" si="0"/>
        <v>35874.965948028104</v>
      </c>
      <c r="G27" s="37">
        <f t="shared" si="1"/>
        <v>1.0254783252838777</v>
      </c>
      <c r="H27" s="7"/>
      <c r="I27" s="7">
        <f t="shared" si="2"/>
        <v>1.0228960447222963</v>
      </c>
      <c r="J27">
        <f t="shared" si="3"/>
        <v>36696.360772785018</v>
      </c>
      <c r="K27" s="37">
        <f t="shared" si="6"/>
        <v>914.03405197189568</v>
      </c>
      <c r="L27" s="7">
        <f t="shared" si="4"/>
        <v>1085.1356124623337</v>
      </c>
      <c r="M27" s="7">
        <f t="shared" si="5"/>
        <v>36960.101560490439</v>
      </c>
      <c r="P27" t="s">
        <v>9</v>
      </c>
      <c r="Q27" s="7">
        <f>AVERAGEIF(C:C,"Jul",K:K)</f>
        <v>1825.9687600229961</v>
      </c>
    </row>
    <row r="28" spans="1:17" x14ac:dyDescent="0.3">
      <c r="A28" s="4">
        <v>40909</v>
      </c>
      <c r="B28" s="5">
        <v>25</v>
      </c>
      <c r="C28" s="5" t="s">
        <v>3</v>
      </c>
      <c r="D28" s="6">
        <v>34091</v>
      </c>
      <c r="E28" s="7">
        <f t="shared" si="0"/>
        <v>36081.832577540241</v>
      </c>
      <c r="G28" s="37">
        <f t="shared" si="1"/>
        <v>0.94482451595932881</v>
      </c>
      <c r="H28" s="7"/>
      <c r="I28" s="7">
        <f t="shared" si="2"/>
        <v>0.94152260503870033</v>
      </c>
      <c r="J28">
        <f t="shared" si="3"/>
        <v>33971.861002975929</v>
      </c>
      <c r="K28" s="37">
        <f t="shared" si="6"/>
        <v>-1990.8325775402409</v>
      </c>
      <c r="L28" s="7">
        <f t="shared" si="4"/>
        <v>-2535.931462904211</v>
      </c>
      <c r="M28" s="7">
        <f t="shared" si="5"/>
        <v>33545.901114636028</v>
      </c>
      <c r="P28" t="s">
        <v>10</v>
      </c>
      <c r="Q28" s="7">
        <f>AVERAGEIF(C:C,"Aug",K:K)</f>
        <v>1024.102130510862</v>
      </c>
    </row>
    <row r="29" spans="1:17" x14ac:dyDescent="0.3">
      <c r="A29" s="4">
        <v>40940</v>
      </c>
      <c r="B29" s="5">
        <v>26</v>
      </c>
      <c r="C29" s="5" t="s">
        <v>4</v>
      </c>
      <c r="D29" s="6">
        <v>35042</v>
      </c>
      <c r="E29" s="7">
        <f t="shared" si="0"/>
        <v>36288.69920705237</v>
      </c>
      <c r="G29" s="37">
        <f t="shared" si="1"/>
        <v>0.96564497393695259</v>
      </c>
      <c r="H29" s="7"/>
      <c r="I29" s="7">
        <f t="shared" si="2"/>
        <v>0.93397523590397658</v>
      </c>
      <c r="J29">
        <f t="shared" si="3"/>
        <v>33892.746402555182</v>
      </c>
      <c r="K29" s="37">
        <f t="shared" si="6"/>
        <v>-1246.6992070523702</v>
      </c>
      <c r="L29" s="7">
        <f t="shared" si="4"/>
        <v>-2877.4980924163419</v>
      </c>
      <c r="M29" s="7">
        <f t="shared" si="5"/>
        <v>33411.201114636031</v>
      </c>
      <c r="P29" t="s">
        <v>11</v>
      </c>
      <c r="Q29" s="7">
        <f>AVERAGEIF(C:C,"Sep",K:K)</f>
        <v>-1800.7644990012691</v>
      </c>
    </row>
    <row r="30" spans="1:17" x14ac:dyDescent="0.3">
      <c r="A30" s="4">
        <v>40969</v>
      </c>
      <c r="B30" s="5">
        <v>27</v>
      </c>
      <c r="C30" s="5" t="s">
        <v>5</v>
      </c>
      <c r="D30" s="6">
        <v>39045</v>
      </c>
      <c r="E30" s="7">
        <f t="shared" si="0"/>
        <v>36495.565836564507</v>
      </c>
      <c r="G30" s="37">
        <f t="shared" si="1"/>
        <v>1.0698559977081172</v>
      </c>
      <c r="H30" s="7"/>
      <c r="I30" s="7">
        <f t="shared" si="2"/>
        <v>1.0562766574660145</v>
      </c>
      <c r="J30">
        <f t="shared" si="3"/>
        <v>38549.41429417723</v>
      </c>
      <c r="K30" s="37">
        <f t="shared" si="6"/>
        <v>2549.4341634354932</v>
      </c>
      <c r="L30" s="7">
        <f t="shared" si="4"/>
        <v>2400.335278071524</v>
      </c>
      <c r="M30" s="7">
        <f t="shared" si="5"/>
        <v>38895.901114636028</v>
      </c>
      <c r="P30" t="s">
        <v>12</v>
      </c>
      <c r="Q30" s="7">
        <f>AVERAGEIF(C:C,"Oct",K:K)</f>
        <v>-329.63112851340122</v>
      </c>
    </row>
    <row r="31" spans="1:17" x14ac:dyDescent="0.3">
      <c r="A31" s="4">
        <v>41000</v>
      </c>
      <c r="B31" s="5">
        <v>28</v>
      </c>
      <c r="C31" s="5" t="s">
        <v>6</v>
      </c>
      <c r="D31" s="6">
        <v>37143</v>
      </c>
      <c r="E31" s="7">
        <f t="shared" si="0"/>
        <v>36702.432466076636</v>
      </c>
      <c r="G31" s="37">
        <f t="shared" si="1"/>
        <v>1.0120037693504531</v>
      </c>
      <c r="H31" s="7"/>
      <c r="I31" s="7">
        <f t="shared" si="2"/>
        <v>1.016503267626979</v>
      </c>
      <c r="J31">
        <f t="shared" si="3"/>
        <v>37308.142531625417</v>
      </c>
      <c r="K31" s="37">
        <f t="shared" si="6"/>
        <v>440.56753392336395</v>
      </c>
      <c r="L31" s="7">
        <f t="shared" si="4"/>
        <v>667.06864855939386</v>
      </c>
      <c r="M31" s="7">
        <f t="shared" si="5"/>
        <v>37369.501114636027</v>
      </c>
      <c r="P31" t="s">
        <v>13</v>
      </c>
      <c r="Q31" s="7">
        <f>AVERAGEIF(C:C,"Nov",K:K)</f>
        <v>-2169.5977580255339</v>
      </c>
    </row>
    <row r="32" spans="1:17" x14ac:dyDescent="0.3">
      <c r="A32" s="4">
        <v>41030</v>
      </c>
      <c r="B32" s="5">
        <v>29</v>
      </c>
      <c r="C32" s="5" t="s">
        <v>7</v>
      </c>
      <c r="D32" s="6">
        <v>38591</v>
      </c>
      <c r="E32" s="7">
        <f t="shared" si="0"/>
        <v>36909.299095588765</v>
      </c>
      <c r="G32" s="37">
        <f t="shared" si="1"/>
        <v>1.0455630679969272</v>
      </c>
      <c r="H32" s="7"/>
      <c r="I32" s="7">
        <f t="shared" si="2"/>
        <v>1.0607045000422339</v>
      </c>
      <c r="J32">
        <f t="shared" si="3"/>
        <v>39149.859644095755</v>
      </c>
      <c r="K32" s="37">
        <f t="shared" si="6"/>
        <v>1681.7009044112347</v>
      </c>
      <c r="L32" s="7">
        <f t="shared" si="4"/>
        <v>2632.5020190472605</v>
      </c>
      <c r="M32" s="7">
        <f t="shared" si="5"/>
        <v>39541.801114636022</v>
      </c>
      <c r="P32" t="s">
        <v>14</v>
      </c>
      <c r="Q32" s="7">
        <f>AVERAGEIF(C:C,"Dec",K:K)</f>
        <v>1085.1356124623337</v>
      </c>
    </row>
    <row r="33" spans="1:13" x14ac:dyDescent="0.3">
      <c r="A33" s="4">
        <v>41061</v>
      </c>
      <c r="B33" s="5">
        <v>30</v>
      </c>
      <c r="C33" s="5" t="s">
        <v>8</v>
      </c>
      <c r="D33" s="6">
        <v>38401</v>
      </c>
      <c r="E33" s="7">
        <f t="shared" si="0"/>
        <v>37116.165725100902</v>
      </c>
      <c r="G33" s="37">
        <f t="shared" si="1"/>
        <v>1.0346165680047654</v>
      </c>
      <c r="H33" s="7"/>
      <c r="I33" s="7">
        <f t="shared" si="2"/>
        <v>1.0286640393653166</v>
      </c>
      <c r="J33">
        <f t="shared" si="3"/>
        <v>38180.064960534808</v>
      </c>
      <c r="K33" s="37">
        <f t="shared" si="6"/>
        <v>1284.8342748990981</v>
      </c>
      <c r="L33" s="7">
        <f t="shared" si="4"/>
        <v>1294.5353895351273</v>
      </c>
      <c r="M33" s="7">
        <f t="shared" si="5"/>
        <v>38410.701114636031</v>
      </c>
    </row>
    <row r="34" spans="1:13" x14ac:dyDescent="0.3">
      <c r="A34" s="4">
        <v>41091</v>
      </c>
      <c r="B34" s="5">
        <v>31</v>
      </c>
      <c r="C34" s="5" t="s">
        <v>9</v>
      </c>
      <c r="D34" s="6">
        <v>38488</v>
      </c>
      <c r="E34" s="7">
        <f t="shared" si="0"/>
        <v>37323.032354613031</v>
      </c>
      <c r="G34" s="37">
        <f t="shared" si="1"/>
        <v>1.0312131027918203</v>
      </c>
      <c r="H34" s="7"/>
      <c r="I34" s="7">
        <f t="shared" si="2"/>
        <v>1.0419379030702278</v>
      </c>
      <c r="J34">
        <f t="shared" si="3"/>
        <v>38888.282067787768</v>
      </c>
      <c r="K34" s="37">
        <f t="shared" si="6"/>
        <v>1164.9676453869688</v>
      </c>
      <c r="L34" s="7">
        <f t="shared" si="4"/>
        <v>1825.9687600229961</v>
      </c>
      <c r="M34" s="7">
        <f t="shared" si="5"/>
        <v>39149.001114636027</v>
      </c>
    </row>
    <row r="35" spans="1:13" x14ac:dyDescent="0.3">
      <c r="A35" s="4">
        <v>41122</v>
      </c>
      <c r="B35" s="5">
        <v>32</v>
      </c>
      <c r="C35" s="5" t="s">
        <v>10</v>
      </c>
      <c r="D35" s="6">
        <v>38611</v>
      </c>
      <c r="E35" s="7">
        <f t="shared" si="0"/>
        <v>37529.898984125168</v>
      </c>
      <c r="G35" s="37">
        <f t="shared" si="1"/>
        <v>1.0288063929064166</v>
      </c>
      <c r="H35" s="7"/>
      <c r="I35" s="7">
        <f t="shared" si="2"/>
        <v>1.0210721918922554</v>
      </c>
      <c r="J35">
        <f t="shared" si="3"/>
        <v>38320.736217215614</v>
      </c>
      <c r="K35" s="37">
        <f t="shared" si="6"/>
        <v>1081.1010158748322</v>
      </c>
      <c r="L35" s="7">
        <f t="shared" si="4"/>
        <v>1024.102130510862</v>
      </c>
      <c r="M35" s="7">
        <f t="shared" si="5"/>
        <v>38554.001114636027</v>
      </c>
    </row>
    <row r="36" spans="1:13" x14ac:dyDescent="0.3">
      <c r="A36" s="4">
        <v>41153</v>
      </c>
      <c r="B36" s="5">
        <v>33</v>
      </c>
      <c r="C36" s="5" t="s">
        <v>11</v>
      </c>
      <c r="D36" s="6">
        <v>36080</v>
      </c>
      <c r="E36" s="7">
        <f t="shared" si="0"/>
        <v>37736.765613637297</v>
      </c>
      <c r="G36" s="37">
        <f t="shared" si="1"/>
        <v>0.95609677759350487</v>
      </c>
      <c r="H36" s="7"/>
      <c r="I36" s="7">
        <f t="shared" si="2"/>
        <v>0.95852450332883099</v>
      </c>
      <c r="J36">
        <f t="shared" si="3"/>
        <v>36171.614517048198</v>
      </c>
      <c r="K36" s="37">
        <f t="shared" si="6"/>
        <v>-1656.7656136372971</v>
      </c>
      <c r="L36" s="7">
        <f t="shared" si="4"/>
        <v>-1800.7644990012691</v>
      </c>
      <c r="M36" s="7">
        <f t="shared" si="5"/>
        <v>35936.001114636027</v>
      </c>
    </row>
    <row r="37" spans="1:13" x14ac:dyDescent="0.3">
      <c r="A37" s="4">
        <v>41183</v>
      </c>
      <c r="B37" s="5">
        <v>34</v>
      </c>
      <c r="C37" s="5" t="s">
        <v>12</v>
      </c>
      <c r="D37" s="6">
        <v>36782</v>
      </c>
      <c r="E37" s="7">
        <f t="shared" si="0"/>
        <v>37943.632243149434</v>
      </c>
      <c r="G37" s="37">
        <f t="shared" si="1"/>
        <v>0.96938531778651316</v>
      </c>
      <c r="H37" s="7"/>
      <c r="I37" s="7">
        <f t="shared" si="2"/>
        <v>0.99257375628748556</v>
      </c>
      <c r="J37">
        <f t="shared" si="3"/>
        <v>37661.853582773787</v>
      </c>
      <c r="K37" s="37">
        <f t="shared" si="6"/>
        <v>-1161.6322431494336</v>
      </c>
      <c r="L37" s="7">
        <f t="shared" si="4"/>
        <v>-329.63112851340122</v>
      </c>
      <c r="M37" s="7">
        <f t="shared" si="5"/>
        <v>37614.001114636034</v>
      </c>
    </row>
    <row r="38" spans="1:13" x14ac:dyDescent="0.3">
      <c r="A38" s="4">
        <v>41214</v>
      </c>
      <c r="B38" s="5">
        <v>35</v>
      </c>
      <c r="C38" s="5" t="s">
        <v>13</v>
      </c>
      <c r="D38" s="6">
        <v>36087</v>
      </c>
      <c r="E38" s="7">
        <f t="shared" si="0"/>
        <v>38150.498872661563</v>
      </c>
      <c r="G38" s="37">
        <f t="shared" si="1"/>
        <v>0.9459116149555713</v>
      </c>
      <c r="H38" s="7"/>
      <c r="I38" s="7">
        <f t="shared" si="2"/>
        <v>0.95017130759221136</v>
      </c>
      <c r="J38">
        <f t="shared" si="3"/>
        <v>36249.509399132025</v>
      </c>
      <c r="K38" s="37">
        <f t="shared" si="6"/>
        <v>-2063.4988726615629</v>
      </c>
      <c r="L38" s="7">
        <f t="shared" si="4"/>
        <v>-2169.5977580255339</v>
      </c>
      <c r="M38" s="7">
        <f t="shared" si="5"/>
        <v>35980.901114636028</v>
      </c>
    </row>
    <row r="39" spans="1:13" x14ac:dyDescent="0.3">
      <c r="A39" s="4">
        <v>41244</v>
      </c>
      <c r="B39" s="5">
        <v>36</v>
      </c>
      <c r="C39" s="5" t="s">
        <v>14</v>
      </c>
      <c r="D39" s="6">
        <v>38982</v>
      </c>
      <c r="E39" s="7">
        <f t="shared" si="0"/>
        <v>38357.365502173692</v>
      </c>
      <c r="G39" s="37">
        <f t="shared" si="1"/>
        <v>1.0162846037429476</v>
      </c>
      <c r="H39" s="7"/>
      <c r="I39" s="7">
        <f t="shared" si="2"/>
        <v>1.0228960447222963</v>
      </c>
      <c r="J39">
        <f t="shared" si="3"/>
        <v>39235.597458140925</v>
      </c>
      <c r="K39" s="37">
        <f t="shared" si="6"/>
        <v>624.63449782630778</v>
      </c>
      <c r="L39" s="7">
        <f t="shared" si="4"/>
        <v>1085.1356124623337</v>
      </c>
      <c r="M39" s="7">
        <f t="shared" si="5"/>
        <v>39442.501114636027</v>
      </c>
    </row>
    <row r="40" spans="1:13" x14ac:dyDescent="0.3">
      <c r="A40" s="4">
        <v>41275</v>
      </c>
      <c r="B40" s="5">
        <v>37</v>
      </c>
      <c r="C40" s="5" t="s">
        <v>3</v>
      </c>
      <c r="D40" s="6">
        <v>36033</v>
      </c>
      <c r="E40" s="7">
        <f t="shared" si="0"/>
        <v>38564.232131685829</v>
      </c>
      <c r="G40" s="37">
        <f t="shared" si="1"/>
        <v>0.93436321711158687</v>
      </c>
      <c r="H40" s="7"/>
      <c r="I40" s="7">
        <f t="shared" si="2"/>
        <v>0.94152260503870033</v>
      </c>
      <c r="J40">
        <f t="shared" si="3"/>
        <v>36309.096297941993</v>
      </c>
      <c r="K40" s="37">
        <f t="shared" si="6"/>
        <v>-2531.2321316858288</v>
      </c>
      <c r="L40" s="7">
        <f t="shared" si="4"/>
        <v>-2535.931462904211</v>
      </c>
      <c r="M40" s="7">
        <f t="shared" si="5"/>
        <v>36028.300668781616</v>
      </c>
    </row>
    <row r="41" spans="1:13" x14ac:dyDescent="0.3">
      <c r="A41" s="4">
        <v>41306</v>
      </c>
      <c r="B41" s="5">
        <v>38</v>
      </c>
      <c r="C41" s="5" t="s">
        <v>4</v>
      </c>
      <c r="D41" s="6">
        <v>35608</v>
      </c>
      <c r="E41" s="7">
        <f t="shared" si="0"/>
        <v>38771.098761197958</v>
      </c>
      <c r="G41" s="37">
        <f t="shared" si="1"/>
        <v>0.91841606603206249</v>
      </c>
      <c r="H41" s="7"/>
      <c r="I41" s="7">
        <f t="shared" si="2"/>
        <v>0.93397523590397658</v>
      </c>
      <c r="J41">
        <f t="shared" si="3"/>
        <v>36211.246111746237</v>
      </c>
      <c r="K41" s="37">
        <f t="shared" si="6"/>
        <v>-3163.0987611979581</v>
      </c>
      <c r="L41" s="7">
        <f t="shared" si="4"/>
        <v>-2877.4980924163419</v>
      </c>
      <c r="M41" s="7">
        <f t="shared" si="5"/>
        <v>35893.600668781619</v>
      </c>
    </row>
    <row r="42" spans="1:13" x14ac:dyDescent="0.3">
      <c r="A42" s="4">
        <v>41334</v>
      </c>
      <c r="B42" s="5">
        <v>39</v>
      </c>
      <c r="C42" s="5" t="s">
        <v>5</v>
      </c>
      <c r="D42" s="6">
        <v>40955</v>
      </c>
      <c r="E42" s="7">
        <f t="shared" si="0"/>
        <v>38977.965390710095</v>
      </c>
      <c r="G42" s="37">
        <f t="shared" si="1"/>
        <v>1.0507218524484889</v>
      </c>
      <c r="H42" s="7"/>
      <c r="I42" s="7">
        <f t="shared" si="2"/>
        <v>1.0562766574660145</v>
      </c>
      <c r="J42">
        <f t="shared" si="3"/>
        <v>41171.514997725259</v>
      </c>
      <c r="K42" s="37">
        <f t="shared" si="6"/>
        <v>1977.0346092899053</v>
      </c>
      <c r="L42" s="7">
        <f t="shared" si="4"/>
        <v>2400.335278071524</v>
      </c>
      <c r="M42" s="7">
        <f t="shared" si="5"/>
        <v>41378.300668781616</v>
      </c>
    </row>
    <row r="43" spans="1:13" x14ac:dyDescent="0.3">
      <c r="A43" s="4">
        <v>41365</v>
      </c>
      <c r="B43" s="5">
        <v>40</v>
      </c>
      <c r="C43" s="5" t="s">
        <v>6</v>
      </c>
      <c r="D43" s="6">
        <v>38810</v>
      </c>
      <c r="E43" s="7">
        <f t="shared" si="0"/>
        <v>39184.832020222224</v>
      </c>
      <c r="G43" s="37">
        <f t="shared" si="1"/>
        <v>0.99043425731597412</v>
      </c>
      <c r="H43" s="7"/>
      <c r="I43" s="7">
        <f t="shared" si="2"/>
        <v>1.016503267626979</v>
      </c>
      <c r="J43">
        <f t="shared" si="3"/>
        <v>39831.509789970165</v>
      </c>
      <c r="K43" s="37">
        <f t="shared" si="6"/>
        <v>-374.83202022222395</v>
      </c>
      <c r="L43" s="7">
        <f t="shared" si="4"/>
        <v>667.06864855939386</v>
      </c>
      <c r="M43" s="7">
        <f t="shared" si="5"/>
        <v>39851.900668781615</v>
      </c>
    </row>
    <row r="44" spans="1:13" x14ac:dyDescent="0.3">
      <c r="A44" s="4">
        <v>41395</v>
      </c>
      <c r="B44" s="5">
        <v>41</v>
      </c>
      <c r="C44" s="5" t="s">
        <v>7</v>
      </c>
      <c r="D44" s="6">
        <v>40685</v>
      </c>
      <c r="E44" s="7">
        <f t="shared" si="0"/>
        <v>39391.698649734361</v>
      </c>
      <c r="G44" s="37">
        <f t="shared" si="1"/>
        <v>1.0328318248412058</v>
      </c>
      <c r="H44" s="7"/>
      <c r="I44" s="7">
        <f t="shared" si="2"/>
        <v>1.0607045000422339</v>
      </c>
      <c r="J44">
        <f t="shared" si="3"/>
        <v>41782.952022080826</v>
      </c>
      <c r="K44" s="37">
        <f t="shared" si="6"/>
        <v>1293.3013502656395</v>
      </c>
      <c r="L44" s="7">
        <f t="shared" si="4"/>
        <v>2632.5020190472605</v>
      </c>
      <c r="M44" s="7">
        <f t="shared" si="5"/>
        <v>42024.200668781617</v>
      </c>
    </row>
    <row r="45" spans="1:13" x14ac:dyDescent="0.3">
      <c r="A45" s="4">
        <v>41426</v>
      </c>
      <c r="B45" s="5">
        <v>42</v>
      </c>
      <c r="C45" s="5" t="s">
        <v>8</v>
      </c>
      <c r="D45" s="6">
        <v>39421</v>
      </c>
      <c r="E45" s="7">
        <f t="shared" si="0"/>
        <v>39598.56527924649</v>
      </c>
      <c r="G45" s="37">
        <f t="shared" si="1"/>
        <v>0.99551586584023155</v>
      </c>
      <c r="H45" s="7"/>
      <c r="I45" s="7">
        <f t="shared" si="2"/>
        <v>1.0286640393653166</v>
      </c>
      <c r="J45">
        <f t="shared" si="3"/>
        <v>40733.620113220866</v>
      </c>
      <c r="K45" s="37">
        <f t="shared" si="6"/>
        <v>-177.56527924648981</v>
      </c>
      <c r="L45" s="7">
        <f t="shared" si="4"/>
        <v>1294.5353895351273</v>
      </c>
      <c r="M45" s="7">
        <f t="shared" si="5"/>
        <v>40893.100668781619</v>
      </c>
    </row>
    <row r="46" spans="1:13" x14ac:dyDescent="0.3">
      <c r="A46" s="4">
        <v>41456</v>
      </c>
      <c r="B46" s="5">
        <v>43</v>
      </c>
      <c r="C46" s="5" t="s">
        <v>9</v>
      </c>
      <c r="D46" s="6">
        <v>39610</v>
      </c>
      <c r="E46" s="7">
        <f t="shared" si="0"/>
        <v>39805.431908758619</v>
      </c>
      <c r="G46" s="37">
        <f t="shared" si="1"/>
        <v>0.9950903206073336</v>
      </c>
      <c r="H46" s="7"/>
      <c r="I46" s="7">
        <f t="shared" si="2"/>
        <v>1.0419379030702278</v>
      </c>
      <c r="J46">
        <f t="shared" si="3"/>
        <v>41474.788253816689</v>
      </c>
      <c r="K46" s="37">
        <f t="shared" si="6"/>
        <v>-195.4319087586191</v>
      </c>
      <c r="L46" s="7">
        <f t="shared" si="4"/>
        <v>1825.9687600229961</v>
      </c>
      <c r="M46" s="7">
        <f t="shared" si="5"/>
        <v>41631.400668781615</v>
      </c>
    </row>
    <row r="47" spans="1:13" x14ac:dyDescent="0.3">
      <c r="A47" s="4">
        <v>41487</v>
      </c>
      <c r="B47" s="5">
        <v>44</v>
      </c>
      <c r="C47" s="5" t="s">
        <v>10</v>
      </c>
      <c r="D47" s="6">
        <v>34314</v>
      </c>
      <c r="E47" s="7">
        <f t="shared" si="0"/>
        <v>40012.298538270756</v>
      </c>
      <c r="G47" s="37">
        <f t="shared" si="1"/>
        <v>0.85758632354448527</v>
      </c>
      <c r="H47" s="7"/>
      <c r="I47" s="7">
        <f t="shared" si="2"/>
        <v>1.0210721918922554</v>
      </c>
      <c r="J47">
        <f t="shared" si="3"/>
        <v>40855.445371119407</v>
      </c>
      <c r="K47" s="37">
        <f t="shared" si="6"/>
        <v>-5698.2985382707557</v>
      </c>
      <c r="L47" s="7">
        <f t="shared" si="4"/>
        <v>1024.102130510862</v>
      </c>
      <c r="M47" s="7">
        <f t="shared" si="5"/>
        <v>41036.400668781615</v>
      </c>
    </row>
    <row r="48" spans="1:13" x14ac:dyDescent="0.3">
      <c r="A48" s="4">
        <v>41518</v>
      </c>
      <c r="B48" s="5">
        <v>45</v>
      </c>
      <c r="C48" s="5" t="s">
        <v>11</v>
      </c>
      <c r="D48" s="6">
        <v>36907</v>
      </c>
      <c r="E48" s="7">
        <f t="shared" si="0"/>
        <v>40219.165167782885</v>
      </c>
      <c r="G48" s="37">
        <f t="shared" si="1"/>
        <v>0.91764709302230718</v>
      </c>
      <c r="H48" s="7"/>
      <c r="I48" s="7">
        <f t="shared" si="2"/>
        <v>0.95852450332883099</v>
      </c>
      <c r="J48">
        <f t="shared" si="3"/>
        <v>38551.055316749313</v>
      </c>
      <c r="K48" s="37">
        <f t="shared" si="6"/>
        <v>-3312.165167782885</v>
      </c>
      <c r="L48" s="7">
        <f t="shared" si="4"/>
        <v>-1800.7644990012691</v>
      </c>
      <c r="M48" s="7">
        <f t="shared" si="5"/>
        <v>38418.400668781615</v>
      </c>
    </row>
    <row r="49" spans="1:13" x14ac:dyDescent="0.3">
      <c r="A49" s="4">
        <v>41548</v>
      </c>
      <c r="B49" s="5">
        <v>46</v>
      </c>
      <c r="C49" s="5" t="s">
        <v>12</v>
      </c>
      <c r="D49" s="6">
        <v>38790</v>
      </c>
      <c r="E49" s="7">
        <f t="shared" si="0"/>
        <v>40426.031797295014</v>
      </c>
      <c r="G49" s="37">
        <f t="shared" si="1"/>
        <v>0.95953024018042543</v>
      </c>
      <c r="H49" s="7"/>
      <c r="I49" s="7">
        <f t="shared" si="2"/>
        <v>0.99257375628748556</v>
      </c>
      <c r="J49">
        <f t="shared" si="3"/>
        <v>40125.818232838443</v>
      </c>
      <c r="K49" s="37">
        <f t="shared" si="6"/>
        <v>-1636.0317972950143</v>
      </c>
      <c r="L49" s="7">
        <f t="shared" si="4"/>
        <v>-329.63112851340122</v>
      </c>
      <c r="M49" s="7">
        <f t="shared" si="5"/>
        <v>40096.400668781615</v>
      </c>
    </row>
    <row r="50" spans="1:13" x14ac:dyDescent="0.3">
      <c r="A50" s="4">
        <v>41579</v>
      </c>
      <c r="B50" s="5">
        <v>47</v>
      </c>
      <c r="C50" s="5" t="s">
        <v>13</v>
      </c>
      <c r="D50" s="6">
        <v>38475</v>
      </c>
      <c r="E50" s="7">
        <f t="shared" si="0"/>
        <v>40632.898426807151</v>
      </c>
      <c r="G50" s="37">
        <f t="shared" si="1"/>
        <v>0.94689282550950149</v>
      </c>
      <c r="H50" s="7"/>
      <c r="I50" s="7">
        <f t="shared" si="2"/>
        <v>0.95017130759221136</v>
      </c>
      <c r="J50">
        <f t="shared" si="3"/>
        <v>38608.214229460857</v>
      </c>
      <c r="K50" s="37">
        <f t="shared" si="6"/>
        <v>-2157.8984268071508</v>
      </c>
      <c r="L50" s="7">
        <f t="shared" si="4"/>
        <v>-2169.5977580255339</v>
      </c>
      <c r="M50" s="7">
        <f t="shared" si="5"/>
        <v>38463.300668781616</v>
      </c>
    </row>
    <row r="51" spans="1:13" x14ac:dyDescent="0.3">
      <c r="A51" s="4">
        <v>41609</v>
      </c>
      <c r="B51" s="5">
        <v>48</v>
      </c>
      <c r="C51" s="5" t="s">
        <v>14</v>
      </c>
      <c r="D51" s="6">
        <v>40147</v>
      </c>
      <c r="E51" s="7">
        <f t="shared" si="0"/>
        <v>40839.765056319287</v>
      </c>
      <c r="G51" s="37">
        <f t="shared" si="1"/>
        <v>0.9830369970208217</v>
      </c>
      <c r="H51" s="7"/>
      <c r="I51" s="7">
        <f t="shared" si="2"/>
        <v>1.0228960447222963</v>
      </c>
      <c r="J51">
        <f t="shared" si="3"/>
        <v>41774.834143496846</v>
      </c>
      <c r="K51" s="37">
        <f t="shared" si="6"/>
        <v>-692.7650563192874</v>
      </c>
      <c r="L51" s="7">
        <f t="shared" si="4"/>
        <v>1085.1356124623337</v>
      </c>
      <c r="M51" s="7">
        <f t="shared" si="5"/>
        <v>41924.900668781622</v>
      </c>
    </row>
    <row r="52" spans="1:13" x14ac:dyDescent="0.3">
      <c r="A52" s="4">
        <v>41640</v>
      </c>
      <c r="B52" s="5">
        <v>49</v>
      </c>
      <c r="C52" s="5" t="s">
        <v>3</v>
      </c>
      <c r="D52" s="6">
        <v>37121</v>
      </c>
      <c r="E52" s="7">
        <f t="shared" si="0"/>
        <v>41046.631685831417</v>
      </c>
      <c r="G52" s="37">
        <f t="shared" si="1"/>
        <v>0.90436166075993818</v>
      </c>
      <c r="H52" s="7"/>
      <c r="I52" s="7">
        <f t="shared" si="2"/>
        <v>0.94152260503870033</v>
      </c>
      <c r="J52">
        <f t="shared" si="3"/>
        <v>38646.331592908056</v>
      </c>
      <c r="K52" s="37">
        <f t="shared" si="6"/>
        <v>-3925.6316858314167</v>
      </c>
      <c r="L52" s="7">
        <f t="shared" si="4"/>
        <v>-2535.931462904211</v>
      </c>
      <c r="M52" s="7">
        <f t="shared" si="5"/>
        <v>38510.700222927204</v>
      </c>
    </row>
    <row r="53" spans="1:13" x14ac:dyDescent="0.3">
      <c r="A53" s="4">
        <v>41671</v>
      </c>
      <c r="B53" s="5">
        <v>50</v>
      </c>
      <c r="C53" s="5" t="s">
        <v>4</v>
      </c>
      <c r="D53" s="6">
        <v>36887</v>
      </c>
      <c r="E53" s="7">
        <f t="shared" si="0"/>
        <v>41253.498315343546</v>
      </c>
      <c r="G53" s="37">
        <f t="shared" si="1"/>
        <v>0.89415447189555075</v>
      </c>
      <c r="H53" s="7"/>
      <c r="I53" s="7">
        <f t="shared" si="2"/>
        <v>0.93397523590397658</v>
      </c>
      <c r="J53">
        <f t="shared" si="3"/>
        <v>38529.745820937285</v>
      </c>
      <c r="K53" s="37">
        <f t="shared" si="6"/>
        <v>-4366.498315343546</v>
      </c>
      <c r="L53" s="7">
        <f t="shared" si="4"/>
        <v>-2877.4980924163419</v>
      </c>
      <c r="M53" s="7">
        <f t="shared" si="5"/>
        <v>38376.000222927207</v>
      </c>
    </row>
    <row r="54" spans="1:13" x14ac:dyDescent="0.3">
      <c r="A54" s="4">
        <v>41699</v>
      </c>
      <c r="B54" s="5">
        <v>51</v>
      </c>
      <c r="C54" s="5" t="s">
        <v>5</v>
      </c>
      <c r="D54" s="6">
        <v>42689</v>
      </c>
      <c r="E54" s="7">
        <f t="shared" si="0"/>
        <v>41460.364944855683</v>
      </c>
      <c r="G54" s="37">
        <f t="shared" si="1"/>
        <v>1.0296339662416976</v>
      </c>
      <c r="H54" s="7"/>
      <c r="I54" s="7">
        <f t="shared" si="2"/>
        <v>1.0562766574660145</v>
      </c>
      <c r="J54">
        <f t="shared" si="3"/>
        <v>43793.61570127328</v>
      </c>
      <c r="K54" s="37">
        <f t="shared" si="6"/>
        <v>1228.6350551443174</v>
      </c>
      <c r="L54" s="7">
        <f t="shared" si="4"/>
        <v>2400.335278071524</v>
      </c>
      <c r="M54" s="7">
        <f t="shared" si="5"/>
        <v>43860.700222927204</v>
      </c>
    </row>
    <row r="55" spans="1:13" x14ac:dyDescent="0.3">
      <c r="A55" s="4">
        <v>41730</v>
      </c>
      <c r="B55" s="5">
        <v>52</v>
      </c>
      <c r="C55" s="5" t="s">
        <v>6</v>
      </c>
      <c r="D55" s="6">
        <v>40953</v>
      </c>
      <c r="E55" s="7">
        <f t="shared" si="0"/>
        <v>41667.231574367812</v>
      </c>
      <c r="G55" s="37">
        <f t="shared" si="1"/>
        <v>0.98285867461357379</v>
      </c>
      <c r="H55" s="7"/>
      <c r="I55" s="7">
        <f t="shared" si="2"/>
        <v>1.016503267626979</v>
      </c>
      <c r="J55">
        <f t="shared" si="3"/>
        <v>42354.877048314913</v>
      </c>
      <c r="K55" s="37">
        <f t="shared" si="6"/>
        <v>-714.23157436781185</v>
      </c>
      <c r="L55" s="7">
        <f t="shared" si="4"/>
        <v>667.06864855939386</v>
      </c>
      <c r="M55" s="7">
        <f t="shared" si="5"/>
        <v>42334.300222927202</v>
      </c>
    </row>
    <row r="56" spans="1:13" x14ac:dyDescent="0.3">
      <c r="A56" s="4">
        <v>41760</v>
      </c>
      <c r="B56" s="5">
        <v>53</v>
      </c>
      <c r="C56" s="5" t="s">
        <v>7</v>
      </c>
      <c r="D56" s="6">
        <v>43854</v>
      </c>
      <c r="E56" s="7">
        <f t="shared" si="0"/>
        <v>41874.098203879941</v>
      </c>
      <c r="G56" s="37">
        <f t="shared" si="1"/>
        <v>1.0472822551659537</v>
      </c>
      <c r="H56" s="7"/>
      <c r="I56" s="7">
        <f t="shared" si="2"/>
        <v>1.0607045000422339</v>
      </c>
      <c r="J56">
        <f t="shared" si="3"/>
        <v>44416.044400065875</v>
      </c>
      <c r="K56" s="37">
        <f t="shared" si="6"/>
        <v>1979.9017961200589</v>
      </c>
      <c r="L56" s="7">
        <f t="shared" si="4"/>
        <v>2632.5020190472605</v>
      </c>
      <c r="M56" s="7">
        <f t="shared" si="5"/>
        <v>44506.600222927198</v>
      </c>
    </row>
    <row r="57" spans="1:13" x14ac:dyDescent="0.3">
      <c r="A57" s="4">
        <v>41791</v>
      </c>
      <c r="B57" s="5">
        <v>54</v>
      </c>
      <c r="C57" s="5" t="s">
        <v>8</v>
      </c>
      <c r="D57" s="6">
        <v>41589</v>
      </c>
      <c r="E57" s="7">
        <f t="shared" si="0"/>
        <v>42080.964833392078</v>
      </c>
      <c r="G57" s="37">
        <f t="shared" si="1"/>
        <v>0.98830908855488753</v>
      </c>
      <c r="H57" s="7"/>
      <c r="I57" s="7">
        <f t="shared" si="2"/>
        <v>1.0286640393653166</v>
      </c>
      <c r="J57">
        <f t="shared" si="3"/>
        <v>43287.175265906932</v>
      </c>
      <c r="K57" s="37">
        <f t="shared" si="6"/>
        <v>-491.96483339207771</v>
      </c>
      <c r="L57" s="7">
        <f t="shared" si="4"/>
        <v>1294.5353895351273</v>
      </c>
      <c r="M57" s="7">
        <f t="shared" si="5"/>
        <v>43375.500222927207</v>
      </c>
    </row>
    <row r="58" spans="1:13" x14ac:dyDescent="0.3">
      <c r="A58" s="4">
        <v>41821</v>
      </c>
      <c r="B58" s="5">
        <v>55</v>
      </c>
      <c r="C58" s="5" t="s">
        <v>9</v>
      </c>
      <c r="D58" s="6">
        <v>42450</v>
      </c>
      <c r="E58" s="7">
        <f t="shared" si="0"/>
        <v>42287.831462904214</v>
      </c>
      <c r="G58" s="37">
        <f t="shared" si="1"/>
        <v>1.0038348747496793</v>
      </c>
      <c r="H58" s="7"/>
      <c r="I58" s="7">
        <f t="shared" si="2"/>
        <v>1.0419379030702278</v>
      </c>
      <c r="J58">
        <f t="shared" si="3"/>
        <v>44061.294439845624</v>
      </c>
      <c r="K58" s="37">
        <f t="shared" si="6"/>
        <v>162.16853709578572</v>
      </c>
      <c r="L58" s="7">
        <f t="shared" si="4"/>
        <v>1825.9687600229961</v>
      </c>
      <c r="M58" s="7">
        <f t="shared" si="5"/>
        <v>44113.80022292721</v>
      </c>
    </row>
    <row r="59" spans="1:13" x14ac:dyDescent="0.3">
      <c r="A59" s="4">
        <v>41852</v>
      </c>
      <c r="B59" s="5">
        <v>56</v>
      </c>
      <c r="C59" s="5" t="s">
        <v>10</v>
      </c>
      <c r="D59" s="6">
        <v>43528</v>
      </c>
      <c r="E59" s="7">
        <f t="shared" si="0"/>
        <v>42494.698092416344</v>
      </c>
      <c r="G59" s="37">
        <f t="shared" si="1"/>
        <v>1.0243160195028673</v>
      </c>
      <c r="H59" s="7"/>
      <c r="I59" s="7">
        <f t="shared" si="2"/>
        <v>1.0210721918922554</v>
      </c>
      <c r="J59">
        <f t="shared" si="3"/>
        <v>43390.154525023201</v>
      </c>
      <c r="K59" s="37">
        <f t="shared" si="6"/>
        <v>1033.3019075836564</v>
      </c>
      <c r="L59" s="7">
        <f t="shared" si="4"/>
        <v>1024.102130510862</v>
      </c>
      <c r="M59" s="7">
        <f t="shared" si="5"/>
        <v>43518.800222927202</v>
      </c>
    </row>
    <row r="60" spans="1:13" x14ac:dyDescent="0.3">
      <c r="A60" s="4">
        <v>41883</v>
      </c>
      <c r="B60" s="5">
        <v>57</v>
      </c>
      <c r="C60" s="5" t="s">
        <v>11</v>
      </c>
      <c r="D60" s="6">
        <v>39935</v>
      </c>
      <c r="E60" s="7">
        <f t="shared" si="0"/>
        <v>42701.564721928473</v>
      </c>
      <c r="G60" s="37">
        <f t="shared" si="1"/>
        <v>0.9352116312377714</v>
      </c>
      <c r="H60" s="7"/>
      <c r="I60" s="7">
        <f t="shared" si="2"/>
        <v>0.95852450332883099</v>
      </c>
      <c r="J60">
        <f t="shared" si="3"/>
        <v>40930.49611645042</v>
      </c>
      <c r="K60" s="37">
        <f t="shared" si="6"/>
        <v>-2766.5647219284729</v>
      </c>
      <c r="L60" s="7">
        <f t="shared" si="4"/>
        <v>-1800.7644990012691</v>
      </c>
      <c r="M60" s="7">
        <f t="shared" si="5"/>
        <v>40900.800222927202</v>
      </c>
    </row>
    <row r="61" spans="1:13" x14ac:dyDescent="0.3">
      <c r="A61" s="4">
        <v>41913</v>
      </c>
      <c r="B61" s="5">
        <v>58</v>
      </c>
      <c r="C61" s="5" t="s">
        <v>12</v>
      </c>
      <c r="D61" s="6">
        <v>42574</v>
      </c>
      <c r="E61" s="7">
        <f t="shared" si="0"/>
        <v>42908.431351440609</v>
      </c>
      <c r="G61" s="37">
        <f t="shared" si="1"/>
        <v>0.99220592921000872</v>
      </c>
      <c r="H61" s="7"/>
      <c r="I61" s="7">
        <f t="shared" si="2"/>
        <v>0.99257375628748556</v>
      </c>
      <c r="J61">
        <f t="shared" si="3"/>
        <v>42589.782882903113</v>
      </c>
      <c r="K61" s="37">
        <f t="shared" si="6"/>
        <v>-334.43135144060943</v>
      </c>
      <c r="L61" s="7">
        <f t="shared" si="4"/>
        <v>-329.63112851340122</v>
      </c>
      <c r="M61" s="7">
        <f t="shared" si="5"/>
        <v>42578.80022292721</v>
      </c>
    </row>
    <row r="62" spans="1:13" x14ac:dyDescent="0.3">
      <c r="A62" s="4">
        <v>41944</v>
      </c>
      <c r="B62" s="5">
        <v>59</v>
      </c>
      <c r="C62" s="5" t="s">
        <v>13</v>
      </c>
      <c r="D62" s="6">
        <v>40864</v>
      </c>
      <c r="E62" s="7">
        <f t="shared" si="0"/>
        <v>43115.297980952739</v>
      </c>
      <c r="G62" s="37">
        <f t="shared" si="1"/>
        <v>0.94778424164092967</v>
      </c>
      <c r="H62" s="7"/>
      <c r="I62" s="7">
        <f t="shared" si="2"/>
        <v>0.95017130759221136</v>
      </c>
      <c r="J62">
        <f t="shared" si="3"/>
        <v>40966.919059789696</v>
      </c>
      <c r="K62" s="37">
        <f t="shared" si="6"/>
        <v>-2251.2979809527387</v>
      </c>
      <c r="L62" s="7">
        <f t="shared" si="4"/>
        <v>-2169.5977580255339</v>
      </c>
      <c r="M62" s="7">
        <f t="shared" si="5"/>
        <v>40945.700222927204</v>
      </c>
    </row>
    <row r="63" spans="1:13" x14ac:dyDescent="0.3">
      <c r="A63" s="4">
        <v>41974</v>
      </c>
      <c r="B63" s="5">
        <v>60</v>
      </c>
      <c r="C63" s="5" t="s">
        <v>14</v>
      </c>
      <c r="D63" s="6">
        <v>44196</v>
      </c>
      <c r="E63" s="7">
        <f t="shared" si="0"/>
        <v>43322.164610464868</v>
      </c>
      <c r="G63" s="37">
        <f t="shared" si="1"/>
        <v>1.0201706308397169</v>
      </c>
      <c r="H63" s="7"/>
      <c r="I63" s="7">
        <f t="shared" si="2"/>
        <v>1.0228960447222963</v>
      </c>
      <c r="J63">
        <f t="shared" si="3"/>
        <v>44314.070828852753</v>
      </c>
      <c r="K63" s="37">
        <f t="shared" si="6"/>
        <v>873.83538953513198</v>
      </c>
      <c r="L63" s="7">
        <f t="shared" si="4"/>
        <v>1085.1356124623337</v>
      </c>
      <c r="M63" s="7">
        <f t="shared" si="5"/>
        <v>44407.300222927202</v>
      </c>
    </row>
    <row r="64" spans="1:13" x14ac:dyDescent="0.3">
      <c r="A64" s="4">
        <v>42005</v>
      </c>
      <c r="B64" s="5">
        <v>61</v>
      </c>
      <c r="C64" s="5" t="s">
        <v>3</v>
      </c>
      <c r="D64" s="6">
        <v>41784</v>
      </c>
      <c r="E64" s="7">
        <f t="shared" si="0"/>
        <v>43529.031239977005</v>
      </c>
      <c r="G64" s="37">
        <f t="shared" si="1"/>
        <v>0.95991109403844554</v>
      </c>
      <c r="H64" s="7"/>
      <c r="I64" s="7">
        <f t="shared" si="2"/>
        <v>0.94152260503870033</v>
      </c>
      <c r="J64">
        <f t="shared" si="3"/>
        <v>40983.56688787412</v>
      </c>
      <c r="K64" s="37">
        <f t="shared" si="6"/>
        <v>-1745.0312399770046</v>
      </c>
      <c r="L64" s="7">
        <f t="shared" si="4"/>
        <v>-2535.931462904211</v>
      </c>
      <c r="M64" s="7">
        <f t="shared" si="5"/>
        <v>40993.099777072792</v>
      </c>
    </row>
    <row r="65" spans="1:13" x14ac:dyDescent="0.3">
      <c r="A65" s="4">
        <v>42036</v>
      </c>
      <c r="B65" s="5">
        <v>62</v>
      </c>
      <c r="C65" s="5" t="s">
        <v>4</v>
      </c>
      <c r="D65" s="6">
        <v>40337</v>
      </c>
      <c r="E65" s="7">
        <f t="shared" si="0"/>
        <v>43735.897869489141</v>
      </c>
      <c r="G65" s="37">
        <f t="shared" si="1"/>
        <v>0.92228585589732992</v>
      </c>
      <c r="H65" s="7"/>
      <c r="I65" s="7">
        <f t="shared" si="2"/>
        <v>0.93397523590397658</v>
      </c>
      <c r="J65">
        <f t="shared" si="3"/>
        <v>40848.245530128348</v>
      </c>
      <c r="K65" s="37">
        <f t="shared" si="6"/>
        <v>-3398.8978694891412</v>
      </c>
      <c r="L65" s="7">
        <f t="shared" si="4"/>
        <v>-2877.4980924163419</v>
      </c>
      <c r="M65" s="7">
        <f t="shared" si="5"/>
        <v>40858.399777072802</v>
      </c>
    </row>
    <row r="66" spans="1:13" x14ac:dyDescent="0.3">
      <c r="A66" s="4">
        <v>42064</v>
      </c>
      <c r="B66" s="5">
        <v>63</v>
      </c>
      <c r="C66" s="5" t="s">
        <v>5</v>
      </c>
      <c r="D66" s="6">
        <v>46307</v>
      </c>
      <c r="E66" s="7">
        <f t="shared" si="0"/>
        <v>43942.76449900127</v>
      </c>
      <c r="G66" s="37">
        <f t="shared" si="1"/>
        <v>1.0538026118282218</v>
      </c>
      <c r="H66" s="7"/>
      <c r="I66" s="7">
        <f t="shared" si="2"/>
        <v>1.0562766574660145</v>
      </c>
      <c r="J66">
        <f t="shared" si="3"/>
        <v>46415.716404821309</v>
      </c>
      <c r="K66" s="37">
        <f t="shared" si="6"/>
        <v>2364.2355009987295</v>
      </c>
      <c r="L66" s="7">
        <f t="shared" si="4"/>
        <v>2400.335278071524</v>
      </c>
      <c r="M66" s="7">
        <f t="shared" si="5"/>
        <v>46343.099777072792</v>
      </c>
    </row>
    <row r="67" spans="1:13" x14ac:dyDescent="0.3">
      <c r="A67" s="4">
        <v>42095</v>
      </c>
      <c r="B67" s="5">
        <v>64</v>
      </c>
      <c r="C67" s="5" t="s">
        <v>6</v>
      </c>
      <c r="D67" s="6">
        <v>45094</v>
      </c>
      <c r="E67" s="7">
        <f t="shared" si="0"/>
        <v>44149.6311285134</v>
      </c>
      <c r="G67" s="37">
        <f t="shared" si="1"/>
        <v>1.0213901871283517</v>
      </c>
      <c r="H67" s="7"/>
      <c r="I67" s="7">
        <f t="shared" si="2"/>
        <v>1.016503267626979</v>
      </c>
      <c r="J67">
        <f t="shared" si="3"/>
        <v>44878.244306659661</v>
      </c>
      <c r="K67" s="37">
        <f t="shared" si="6"/>
        <v>944.36887148660026</v>
      </c>
      <c r="L67" s="7">
        <f t="shared" si="4"/>
        <v>667.06864855939386</v>
      </c>
      <c r="M67" s="7">
        <f t="shared" si="5"/>
        <v>44816.69977707279</v>
      </c>
    </row>
    <row r="68" spans="1:13" x14ac:dyDescent="0.3">
      <c r="A68" s="4">
        <v>42125</v>
      </c>
      <c r="B68" s="5">
        <v>65</v>
      </c>
      <c r="C68" s="5" t="s">
        <v>7</v>
      </c>
      <c r="D68" s="6">
        <v>48077</v>
      </c>
      <c r="E68" s="7">
        <f t="shared" si="0"/>
        <v>44356.497758025536</v>
      </c>
      <c r="G68" s="37">
        <f t="shared" si="1"/>
        <v>1.0838772768371079</v>
      </c>
      <c r="H68" s="7"/>
      <c r="I68" s="7">
        <f t="shared" si="2"/>
        <v>1.0607045000422339</v>
      </c>
      <c r="J68">
        <f t="shared" si="3"/>
        <v>47049.136778050946</v>
      </c>
      <c r="K68" s="37">
        <f t="shared" si="6"/>
        <v>3720.5022419744637</v>
      </c>
      <c r="L68" s="7">
        <f t="shared" si="4"/>
        <v>2632.5020190472605</v>
      </c>
      <c r="M68" s="7">
        <f t="shared" si="5"/>
        <v>46988.999777072793</v>
      </c>
    </row>
    <row r="69" spans="1:13" x14ac:dyDescent="0.3">
      <c r="A69" s="4">
        <v>42156</v>
      </c>
      <c r="B69" s="5">
        <v>66</v>
      </c>
      <c r="C69" s="5" t="s">
        <v>8</v>
      </c>
      <c r="D69" s="6">
        <v>45461</v>
      </c>
      <c r="E69" s="7">
        <f t="shared" ref="E69:E123" si="7">$F$4*B69 + $H$4</f>
        <v>44563.364387537666</v>
      </c>
      <c r="G69" s="37">
        <f t="shared" ref="G69:G123" si="8">D69/E69</f>
        <v>1.0201429049354578</v>
      </c>
      <c r="H69" s="7"/>
      <c r="I69" s="7">
        <f t="shared" ref="I69:I123" si="9">VLOOKUP(C69,$P$6:$Q$17,2,FALSE)</f>
        <v>1.0286640393653166</v>
      </c>
      <c r="J69">
        <f t="shared" ref="J69:J123" si="10">E69*I69</f>
        <v>45840.73041859299</v>
      </c>
      <c r="K69" s="37">
        <f t="shared" ref="K69:K123" si="11">D69-E69</f>
        <v>897.63561246233439</v>
      </c>
      <c r="L69" s="7">
        <f t="shared" ref="L69:L123" si="12">VLOOKUP(C69,$P$21:$Q$32,2,FALSE)</f>
        <v>1294.5353895351273</v>
      </c>
      <c r="M69" s="7">
        <f t="shared" ref="M69:M123" si="13">E69+L69</f>
        <v>45857.899777072795</v>
      </c>
    </row>
    <row r="70" spans="1:13" x14ac:dyDescent="0.3">
      <c r="A70" s="4">
        <v>42186</v>
      </c>
      <c r="B70" s="5">
        <v>67</v>
      </c>
      <c r="C70" s="5" t="s">
        <v>9</v>
      </c>
      <c r="D70" s="6">
        <v>46408</v>
      </c>
      <c r="E70" s="7">
        <f t="shared" si="7"/>
        <v>44770.231017049795</v>
      </c>
      <c r="G70" s="37">
        <f t="shared" si="8"/>
        <v>1.0365816513729067</v>
      </c>
      <c r="H70" s="7"/>
      <c r="I70" s="7">
        <f t="shared" si="9"/>
        <v>1.0419379030702278</v>
      </c>
      <c r="J70">
        <f t="shared" si="10"/>
        <v>46647.800625874537</v>
      </c>
      <c r="K70" s="37">
        <f t="shared" si="11"/>
        <v>1637.7689829502051</v>
      </c>
      <c r="L70" s="7">
        <f t="shared" si="12"/>
        <v>1825.9687600229961</v>
      </c>
      <c r="M70" s="7">
        <f t="shared" si="13"/>
        <v>46596.19977707279</v>
      </c>
    </row>
    <row r="71" spans="1:13" x14ac:dyDescent="0.3">
      <c r="A71" s="4">
        <v>42217</v>
      </c>
      <c r="B71" s="5">
        <v>68</v>
      </c>
      <c r="C71" s="5" t="s">
        <v>10</v>
      </c>
      <c r="D71" s="6">
        <v>46225</v>
      </c>
      <c r="E71" s="7">
        <f t="shared" si="7"/>
        <v>44977.097646561931</v>
      </c>
      <c r="G71" s="37">
        <f t="shared" si="8"/>
        <v>1.0277452841275867</v>
      </c>
      <c r="H71" s="7"/>
      <c r="I71" s="7">
        <f t="shared" si="9"/>
        <v>1.0210721918922554</v>
      </c>
      <c r="J71">
        <f t="shared" si="10"/>
        <v>45924.863678926995</v>
      </c>
      <c r="K71" s="37">
        <f t="shared" si="11"/>
        <v>1247.9023534380685</v>
      </c>
      <c r="L71" s="7">
        <f t="shared" si="12"/>
        <v>1024.102130510862</v>
      </c>
      <c r="M71" s="7">
        <f t="shared" si="13"/>
        <v>46001.19977707279</v>
      </c>
    </row>
    <row r="72" spans="1:13" x14ac:dyDescent="0.3">
      <c r="A72" s="4">
        <v>42248</v>
      </c>
      <c r="B72" s="5">
        <v>69</v>
      </c>
      <c r="C72" s="5" t="s">
        <v>11</v>
      </c>
      <c r="D72" s="6">
        <v>43024</v>
      </c>
      <c r="E72" s="7">
        <f t="shared" si="7"/>
        <v>45183.964276074068</v>
      </c>
      <c r="G72" s="37">
        <f t="shared" si="8"/>
        <v>0.95219622025910156</v>
      </c>
      <c r="H72" s="7"/>
      <c r="I72" s="7">
        <f t="shared" si="9"/>
        <v>0.95852450332883099</v>
      </c>
      <c r="J72">
        <f t="shared" si="10"/>
        <v>43309.936916151535</v>
      </c>
      <c r="K72" s="37">
        <f t="shared" si="11"/>
        <v>-2159.964276074068</v>
      </c>
      <c r="L72" s="7">
        <f t="shared" si="12"/>
        <v>-1800.7644990012691</v>
      </c>
      <c r="M72" s="7">
        <f t="shared" si="13"/>
        <v>43383.199777072798</v>
      </c>
    </row>
    <row r="73" spans="1:13" x14ac:dyDescent="0.3">
      <c r="A73" s="4">
        <v>42278</v>
      </c>
      <c r="B73" s="5">
        <v>70</v>
      </c>
      <c r="C73" s="5" t="s">
        <v>12</v>
      </c>
      <c r="D73" s="6">
        <v>45883</v>
      </c>
      <c r="E73" s="7">
        <f t="shared" si="7"/>
        <v>45390.830905586197</v>
      </c>
      <c r="G73" s="37">
        <f t="shared" si="8"/>
        <v>1.0108429188140997</v>
      </c>
      <c r="H73" s="7"/>
      <c r="I73" s="7">
        <f t="shared" si="9"/>
        <v>0.99257375628748556</v>
      </c>
      <c r="J73">
        <f t="shared" si="10"/>
        <v>45053.747532967784</v>
      </c>
      <c r="K73" s="37">
        <f t="shared" si="11"/>
        <v>492.16909441380267</v>
      </c>
      <c r="L73" s="7">
        <f t="shared" si="12"/>
        <v>-329.63112851340122</v>
      </c>
      <c r="M73" s="7">
        <f t="shared" si="13"/>
        <v>45061.199777072798</v>
      </c>
    </row>
    <row r="74" spans="1:13" x14ac:dyDescent="0.3">
      <c r="A74" s="4">
        <v>42309</v>
      </c>
      <c r="B74" s="5">
        <v>71</v>
      </c>
      <c r="C74" s="5" t="s">
        <v>13</v>
      </c>
      <c r="D74" s="6">
        <v>43128</v>
      </c>
      <c r="E74" s="7">
        <f t="shared" si="7"/>
        <v>45597.697535098327</v>
      </c>
      <c r="G74" s="37">
        <f t="shared" si="8"/>
        <v>0.94583723151377752</v>
      </c>
      <c r="H74" s="7"/>
      <c r="I74" s="7">
        <f t="shared" si="9"/>
        <v>0.95017130759221136</v>
      </c>
      <c r="J74">
        <f t="shared" si="10"/>
        <v>43325.623890118528</v>
      </c>
      <c r="K74" s="37">
        <f t="shared" si="11"/>
        <v>-2469.6975350983266</v>
      </c>
      <c r="L74" s="7">
        <f t="shared" si="12"/>
        <v>-2169.5977580255339</v>
      </c>
      <c r="M74" s="7">
        <f t="shared" si="13"/>
        <v>43428.099777072792</v>
      </c>
    </row>
    <row r="75" spans="1:13" x14ac:dyDescent="0.3">
      <c r="A75" s="4">
        <v>42339</v>
      </c>
      <c r="B75" s="5">
        <v>72</v>
      </c>
      <c r="C75" s="5" t="s">
        <v>14</v>
      </c>
      <c r="D75" s="6">
        <v>47365</v>
      </c>
      <c r="E75" s="7">
        <f t="shared" si="7"/>
        <v>45804.564164610463</v>
      </c>
      <c r="G75" s="37">
        <f t="shared" si="8"/>
        <v>1.0340672564808544</v>
      </c>
      <c r="H75" s="7"/>
      <c r="I75" s="7">
        <f t="shared" si="9"/>
        <v>1.0228960447222963</v>
      </c>
      <c r="J75">
        <f t="shared" si="10"/>
        <v>46853.307514208675</v>
      </c>
      <c r="K75" s="37">
        <f t="shared" si="11"/>
        <v>1560.4358353895368</v>
      </c>
      <c r="L75" s="7">
        <f t="shared" si="12"/>
        <v>1085.1356124623337</v>
      </c>
      <c r="M75" s="7">
        <f t="shared" si="13"/>
        <v>46889.699777072798</v>
      </c>
    </row>
    <row r="76" spans="1:13" x14ac:dyDescent="0.3">
      <c r="A76" s="4">
        <v>42370</v>
      </c>
      <c r="B76" s="5">
        <v>73</v>
      </c>
      <c r="C76" s="5" t="s">
        <v>3</v>
      </c>
      <c r="D76" s="6">
        <v>43571</v>
      </c>
      <c r="E76" s="7">
        <f t="shared" si="7"/>
        <v>46011.430794122592</v>
      </c>
      <c r="G76" s="37">
        <f t="shared" si="8"/>
        <v>0.94696033676843783</v>
      </c>
      <c r="H76" s="7"/>
      <c r="I76" s="7">
        <f t="shared" si="9"/>
        <v>0.94152260503870033</v>
      </c>
      <c r="J76">
        <f t="shared" si="10"/>
        <v>43320.802182840176</v>
      </c>
      <c r="K76" s="37">
        <f t="shared" si="11"/>
        <v>-2440.4307941225925</v>
      </c>
      <c r="L76" s="7">
        <f t="shared" si="12"/>
        <v>-2535.931462904211</v>
      </c>
      <c r="M76" s="7">
        <f t="shared" si="13"/>
        <v>43475.49933121838</v>
      </c>
    </row>
    <row r="77" spans="1:13" x14ac:dyDescent="0.3">
      <c r="A77" s="4">
        <v>42401</v>
      </c>
      <c r="B77" s="5">
        <v>74</v>
      </c>
      <c r="C77" s="5" t="s">
        <v>4</v>
      </c>
      <c r="D77" s="6">
        <v>44624</v>
      </c>
      <c r="E77" s="7">
        <f t="shared" si="7"/>
        <v>46218.297423634722</v>
      </c>
      <c r="G77" s="37">
        <f t="shared" si="8"/>
        <v>0.96550505941355935</v>
      </c>
      <c r="H77" s="7"/>
      <c r="I77" s="7">
        <f t="shared" si="9"/>
        <v>0.93397523590397658</v>
      </c>
      <c r="J77">
        <f t="shared" si="10"/>
        <v>43166.745239319389</v>
      </c>
      <c r="K77" s="37">
        <f t="shared" si="11"/>
        <v>-1594.2974236347218</v>
      </c>
      <c r="L77" s="7">
        <f t="shared" si="12"/>
        <v>-2877.4980924163419</v>
      </c>
      <c r="M77" s="7">
        <f t="shared" si="13"/>
        <v>43340.799331218383</v>
      </c>
    </row>
    <row r="78" spans="1:13" x14ac:dyDescent="0.3">
      <c r="A78" s="4">
        <v>42430</v>
      </c>
      <c r="B78" s="5">
        <v>75</v>
      </c>
      <c r="C78" s="5" t="s">
        <v>5</v>
      </c>
      <c r="D78" s="6">
        <v>48553</v>
      </c>
      <c r="E78" s="7">
        <f t="shared" si="7"/>
        <v>46425.164053146858</v>
      </c>
      <c r="G78" s="37">
        <f t="shared" si="8"/>
        <v>1.0458336764177554</v>
      </c>
      <c r="H78" s="7"/>
      <c r="I78" s="7">
        <f t="shared" si="9"/>
        <v>1.0562766574660145</v>
      </c>
      <c r="J78">
        <f t="shared" si="10"/>
        <v>49037.817108369331</v>
      </c>
      <c r="K78" s="37">
        <f t="shared" si="11"/>
        <v>2127.8359468531416</v>
      </c>
      <c r="L78" s="7">
        <f t="shared" si="12"/>
        <v>2400.335278071524</v>
      </c>
      <c r="M78" s="7">
        <f t="shared" si="13"/>
        <v>48825.49933121838</v>
      </c>
    </row>
    <row r="79" spans="1:13" x14ac:dyDescent="0.3">
      <c r="A79" s="4">
        <v>42461</v>
      </c>
      <c r="B79" s="5">
        <v>76</v>
      </c>
      <c r="C79" s="5" t="s">
        <v>6</v>
      </c>
      <c r="D79" s="6">
        <v>48373</v>
      </c>
      <c r="E79" s="7">
        <f t="shared" si="7"/>
        <v>46632.030682658988</v>
      </c>
      <c r="G79" s="37">
        <f t="shared" si="8"/>
        <v>1.0373341947981782</v>
      </c>
      <c r="H79" s="7"/>
      <c r="I79" s="7">
        <f t="shared" si="9"/>
        <v>1.016503267626979</v>
      </c>
      <c r="J79">
        <f t="shared" si="10"/>
        <v>47401.611565004401</v>
      </c>
      <c r="K79" s="37">
        <f t="shared" si="11"/>
        <v>1740.9693173410124</v>
      </c>
      <c r="L79" s="7">
        <f t="shared" si="12"/>
        <v>667.06864855939386</v>
      </c>
      <c r="M79" s="7">
        <f t="shared" si="13"/>
        <v>47299.099331218378</v>
      </c>
    </row>
    <row r="80" spans="1:13" x14ac:dyDescent="0.3">
      <c r="A80" s="4">
        <v>42491</v>
      </c>
      <c r="B80" s="5">
        <v>77</v>
      </c>
      <c r="C80" s="5" t="s">
        <v>7</v>
      </c>
      <c r="D80" s="6">
        <v>49117</v>
      </c>
      <c r="E80" s="7">
        <f t="shared" si="7"/>
        <v>46838.897312171124</v>
      </c>
      <c r="G80" s="37">
        <f t="shared" si="8"/>
        <v>1.0486369837583027</v>
      </c>
      <c r="H80" s="7"/>
      <c r="I80" s="7">
        <f t="shared" si="9"/>
        <v>1.0607045000422339</v>
      </c>
      <c r="J80">
        <f t="shared" si="10"/>
        <v>49682.22915603601</v>
      </c>
      <c r="K80" s="37">
        <f t="shared" si="11"/>
        <v>2278.1026878288758</v>
      </c>
      <c r="L80" s="7">
        <f t="shared" si="12"/>
        <v>2632.5020190472605</v>
      </c>
      <c r="M80" s="7">
        <f t="shared" si="13"/>
        <v>49471.399331218388</v>
      </c>
    </row>
    <row r="81" spans="1:13" x14ac:dyDescent="0.3">
      <c r="A81" s="4">
        <v>42522</v>
      </c>
      <c r="B81" s="5">
        <v>78</v>
      </c>
      <c r="C81" s="5" t="s">
        <v>8</v>
      </c>
      <c r="D81" s="6">
        <v>47334</v>
      </c>
      <c r="E81" s="7">
        <f t="shared" si="7"/>
        <v>47045.763941683254</v>
      </c>
      <c r="G81" s="37">
        <f t="shared" si="8"/>
        <v>1.0061267165025536</v>
      </c>
      <c r="H81" s="7"/>
      <c r="I81" s="7">
        <f t="shared" si="9"/>
        <v>1.0286640393653166</v>
      </c>
      <c r="J81">
        <f t="shared" si="10"/>
        <v>48394.285571279055</v>
      </c>
      <c r="K81" s="37">
        <f t="shared" si="11"/>
        <v>288.23605831674649</v>
      </c>
      <c r="L81" s="7">
        <f t="shared" si="12"/>
        <v>1294.5353895351273</v>
      </c>
      <c r="M81" s="7">
        <f t="shared" si="13"/>
        <v>48340.299331218383</v>
      </c>
    </row>
    <row r="82" spans="1:13" x14ac:dyDescent="0.3">
      <c r="A82" s="4">
        <v>42552</v>
      </c>
      <c r="B82" s="5">
        <v>79</v>
      </c>
      <c r="C82" s="5" t="s">
        <v>9</v>
      </c>
      <c r="D82" s="6">
        <v>48817</v>
      </c>
      <c r="E82" s="7">
        <f t="shared" si="7"/>
        <v>47252.63057119539</v>
      </c>
      <c r="G82" s="37">
        <f t="shared" si="8"/>
        <v>1.0331065045457646</v>
      </c>
      <c r="H82" s="7"/>
      <c r="I82" s="7">
        <f t="shared" si="9"/>
        <v>1.0419379030702278</v>
      </c>
      <c r="J82">
        <f t="shared" si="10"/>
        <v>49234.306811903465</v>
      </c>
      <c r="K82" s="37">
        <f t="shared" si="11"/>
        <v>1564.3694288046099</v>
      </c>
      <c r="L82" s="7">
        <f t="shared" si="12"/>
        <v>1825.9687600229961</v>
      </c>
      <c r="M82" s="7">
        <f t="shared" si="13"/>
        <v>49078.599331218385</v>
      </c>
    </row>
    <row r="83" spans="1:13" x14ac:dyDescent="0.3">
      <c r="A83" s="4">
        <v>42583</v>
      </c>
      <c r="B83" s="5">
        <v>80</v>
      </c>
      <c r="C83" s="5" t="s">
        <v>10</v>
      </c>
      <c r="D83" s="6">
        <v>47920</v>
      </c>
      <c r="E83" s="7">
        <f t="shared" si="7"/>
        <v>47459.497200707519</v>
      </c>
      <c r="G83" s="37">
        <f t="shared" si="8"/>
        <v>1.0097030694898641</v>
      </c>
      <c r="H83" s="7"/>
      <c r="I83" s="7">
        <f t="shared" si="9"/>
        <v>1.0210721918922554</v>
      </c>
      <c r="J83">
        <f t="shared" si="10"/>
        <v>48459.572832830789</v>
      </c>
      <c r="K83" s="37">
        <f t="shared" si="11"/>
        <v>460.50279929248063</v>
      </c>
      <c r="L83" s="7">
        <f t="shared" si="12"/>
        <v>1024.102130510862</v>
      </c>
      <c r="M83" s="7">
        <f t="shared" si="13"/>
        <v>48483.599331218378</v>
      </c>
    </row>
    <row r="84" spans="1:13" x14ac:dyDescent="0.3">
      <c r="A84" s="4">
        <v>42614</v>
      </c>
      <c r="B84" s="5">
        <v>81</v>
      </c>
      <c r="C84" s="5" t="s">
        <v>11</v>
      </c>
      <c r="D84" s="6">
        <v>45692</v>
      </c>
      <c r="E84" s="7">
        <f t="shared" si="7"/>
        <v>47666.363830219649</v>
      </c>
      <c r="G84" s="37">
        <f t="shared" si="8"/>
        <v>0.95857951663248253</v>
      </c>
      <c r="H84" s="7"/>
      <c r="I84" s="7">
        <f t="shared" si="9"/>
        <v>0.95852450332883099</v>
      </c>
      <c r="J84">
        <f t="shared" si="10"/>
        <v>45689.377715852643</v>
      </c>
      <c r="K84" s="37">
        <f t="shared" si="11"/>
        <v>-1974.3638302196487</v>
      </c>
      <c r="L84" s="7">
        <f t="shared" si="12"/>
        <v>-1800.7644990012691</v>
      </c>
      <c r="M84" s="7">
        <f t="shared" si="13"/>
        <v>45865.599331218378</v>
      </c>
    </row>
    <row r="85" spans="1:13" x14ac:dyDescent="0.3">
      <c r="A85" s="4">
        <v>42644</v>
      </c>
      <c r="B85" s="5">
        <v>82</v>
      </c>
      <c r="C85" s="5" t="s">
        <v>12</v>
      </c>
      <c r="D85" s="6">
        <v>47270</v>
      </c>
      <c r="E85" s="7">
        <f t="shared" si="7"/>
        <v>47873.230459731785</v>
      </c>
      <c r="G85" s="37">
        <f t="shared" si="8"/>
        <v>0.98739942022004989</v>
      </c>
      <c r="H85" s="7"/>
      <c r="I85" s="7">
        <f t="shared" si="9"/>
        <v>0.99257375628748556</v>
      </c>
      <c r="J85">
        <f t="shared" si="10"/>
        <v>47517.712183032447</v>
      </c>
      <c r="K85" s="37">
        <f t="shared" si="11"/>
        <v>-603.23045973178523</v>
      </c>
      <c r="L85" s="7">
        <f t="shared" si="12"/>
        <v>-329.63112851340122</v>
      </c>
      <c r="M85" s="7">
        <f t="shared" si="13"/>
        <v>47543.599331218385</v>
      </c>
    </row>
    <row r="86" spans="1:13" x14ac:dyDescent="0.3">
      <c r="A86" s="4">
        <v>42675</v>
      </c>
      <c r="B86" s="5">
        <v>83</v>
      </c>
      <c r="C86" s="5" t="s">
        <v>13</v>
      </c>
      <c r="D86" s="6">
        <v>45581</v>
      </c>
      <c r="E86" s="7">
        <f t="shared" si="7"/>
        <v>48080.097089243922</v>
      </c>
      <c r="G86" s="37">
        <f t="shared" si="8"/>
        <v>0.9480222120890226</v>
      </c>
      <c r="H86" s="7"/>
      <c r="I86" s="7">
        <f t="shared" si="9"/>
        <v>0.95017130759221136</v>
      </c>
      <c r="J86">
        <f t="shared" si="10"/>
        <v>45684.328720447375</v>
      </c>
      <c r="K86" s="37">
        <f t="shared" si="11"/>
        <v>-2499.0970892439218</v>
      </c>
      <c r="L86" s="7">
        <f t="shared" si="12"/>
        <v>-2169.5977580255339</v>
      </c>
      <c r="M86" s="7">
        <f t="shared" si="13"/>
        <v>45910.499331218387</v>
      </c>
    </row>
    <row r="87" spans="1:13" x14ac:dyDescent="0.3">
      <c r="A87" s="4">
        <v>42705</v>
      </c>
      <c r="B87" s="5">
        <v>84</v>
      </c>
      <c r="C87" s="5" t="s">
        <v>14</v>
      </c>
      <c r="D87" s="6">
        <v>49559</v>
      </c>
      <c r="E87" s="7">
        <f t="shared" si="7"/>
        <v>48286.963718756051</v>
      </c>
      <c r="G87" s="37">
        <f t="shared" si="8"/>
        <v>1.0263432649990758</v>
      </c>
      <c r="H87" s="7"/>
      <c r="I87" s="7">
        <f t="shared" si="9"/>
        <v>1.0228960447222963</v>
      </c>
      <c r="J87">
        <f t="shared" si="10"/>
        <v>49392.544199564589</v>
      </c>
      <c r="K87" s="37">
        <f t="shared" si="11"/>
        <v>1272.0362812439489</v>
      </c>
      <c r="L87" s="7">
        <f t="shared" si="12"/>
        <v>1085.1356124623337</v>
      </c>
      <c r="M87" s="7">
        <f t="shared" si="13"/>
        <v>49372.099331218385</v>
      </c>
    </row>
    <row r="88" spans="1:13" x14ac:dyDescent="0.3">
      <c r="A88" s="4">
        <v>42736</v>
      </c>
      <c r="B88" s="5">
        <v>85</v>
      </c>
      <c r="C88" s="5" t="s">
        <v>3</v>
      </c>
      <c r="D88" s="6">
        <v>45897</v>
      </c>
      <c r="E88" s="7">
        <f t="shared" si="7"/>
        <v>48493.83034826818</v>
      </c>
      <c r="G88" s="37">
        <f t="shared" si="8"/>
        <v>0.94645029419993176</v>
      </c>
      <c r="H88" s="7"/>
      <c r="I88" s="7">
        <f t="shared" si="9"/>
        <v>0.94152260503870033</v>
      </c>
      <c r="J88">
        <f t="shared" si="10"/>
        <v>45658.03747780624</v>
      </c>
      <c r="K88" s="37">
        <f t="shared" si="11"/>
        <v>-2596.8303482681804</v>
      </c>
      <c r="L88" s="7">
        <f t="shared" si="12"/>
        <v>-2535.931462904211</v>
      </c>
      <c r="M88" s="7">
        <f t="shared" si="13"/>
        <v>45957.898885363968</v>
      </c>
    </row>
    <row r="89" spans="1:13" x14ac:dyDescent="0.3">
      <c r="A89" s="4">
        <v>42767</v>
      </c>
      <c r="B89" s="5">
        <v>86</v>
      </c>
      <c r="C89" s="5" t="s">
        <v>4</v>
      </c>
      <c r="D89" s="6">
        <v>45364</v>
      </c>
      <c r="E89" s="7">
        <f t="shared" si="7"/>
        <v>48700.696977780317</v>
      </c>
      <c r="G89" s="37">
        <f t="shared" si="8"/>
        <v>0.93148564220132857</v>
      </c>
      <c r="H89" s="7"/>
      <c r="I89" s="7">
        <f t="shared" si="9"/>
        <v>0.93397523590397658</v>
      </c>
      <c r="J89">
        <f t="shared" si="10"/>
        <v>45485.244948510452</v>
      </c>
      <c r="K89" s="37">
        <f t="shared" si="11"/>
        <v>-3336.696977780317</v>
      </c>
      <c r="L89" s="7">
        <f t="shared" si="12"/>
        <v>-2877.4980924163419</v>
      </c>
      <c r="M89" s="7">
        <f t="shared" si="13"/>
        <v>45823.198885363978</v>
      </c>
    </row>
    <row r="90" spans="1:13" x14ac:dyDescent="0.3">
      <c r="A90" s="4">
        <v>42795</v>
      </c>
      <c r="B90" s="5">
        <v>87</v>
      </c>
      <c r="C90" s="5" t="s">
        <v>5</v>
      </c>
      <c r="D90" s="6">
        <v>51845</v>
      </c>
      <c r="E90" s="7">
        <f t="shared" si="7"/>
        <v>48907.563607292446</v>
      </c>
      <c r="G90" s="37">
        <f t="shared" si="8"/>
        <v>1.0600609839470629</v>
      </c>
      <c r="H90" s="7"/>
      <c r="I90" s="7">
        <f t="shared" si="9"/>
        <v>1.0562766574660145</v>
      </c>
      <c r="J90">
        <f t="shared" si="10"/>
        <v>51659.917811917359</v>
      </c>
      <c r="K90" s="37">
        <f t="shared" si="11"/>
        <v>2937.4363927075538</v>
      </c>
      <c r="L90" s="7">
        <f t="shared" si="12"/>
        <v>2400.335278071524</v>
      </c>
      <c r="M90" s="7">
        <f t="shared" si="13"/>
        <v>51307.898885363968</v>
      </c>
    </row>
    <row r="91" spans="1:13" x14ac:dyDescent="0.3">
      <c r="A91" s="4">
        <v>42826</v>
      </c>
      <c r="B91" s="5">
        <v>88</v>
      </c>
      <c r="C91" s="5" t="s">
        <v>6</v>
      </c>
      <c r="D91" s="6">
        <v>50245</v>
      </c>
      <c r="E91" s="7">
        <f t="shared" si="7"/>
        <v>49114.430236804576</v>
      </c>
      <c r="G91" s="37">
        <f t="shared" si="8"/>
        <v>1.0230190955640612</v>
      </c>
      <c r="H91" s="7"/>
      <c r="I91" s="7">
        <f t="shared" si="9"/>
        <v>1.016503267626979</v>
      </c>
      <c r="J91">
        <f t="shared" si="10"/>
        <v>49924.978823349149</v>
      </c>
      <c r="K91" s="37">
        <f t="shared" si="11"/>
        <v>1130.5697631954245</v>
      </c>
      <c r="L91" s="7">
        <f t="shared" si="12"/>
        <v>667.06864855939386</v>
      </c>
      <c r="M91" s="7">
        <f t="shared" si="13"/>
        <v>49781.498885363966</v>
      </c>
    </row>
    <row r="92" spans="1:13" x14ac:dyDescent="0.3">
      <c r="A92" s="4">
        <v>42856</v>
      </c>
      <c r="B92" s="5">
        <v>89</v>
      </c>
      <c r="C92" s="5" t="s">
        <v>7</v>
      </c>
      <c r="D92" s="6">
        <v>51829</v>
      </c>
      <c r="E92" s="7">
        <f t="shared" si="7"/>
        <v>49321.296866316712</v>
      </c>
      <c r="G92" s="37">
        <f t="shared" si="8"/>
        <v>1.0508442253755068</v>
      </c>
      <c r="H92" s="7"/>
      <c r="I92" s="7">
        <f t="shared" si="9"/>
        <v>1.0607045000422339</v>
      </c>
      <c r="J92">
        <f t="shared" si="10"/>
        <v>52315.321534021066</v>
      </c>
      <c r="K92" s="37">
        <f t="shared" si="11"/>
        <v>2507.7031336832879</v>
      </c>
      <c r="L92" s="7">
        <f t="shared" si="12"/>
        <v>2632.5020190472605</v>
      </c>
      <c r="M92" s="7">
        <f t="shared" si="13"/>
        <v>51953.798885363969</v>
      </c>
    </row>
    <row r="93" spans="1:13" x14ac:dyDescent="0.3">
      <c r="A93" s="4">
        <v>42887</v>
      </c>
      <c r="B93" s="5">
        <v>90</v>
      </c>
      <c r="C93" s="5" t="s">
        <v>8</v>
      </c>
      <c r="D93" s="6">
        <v>51013</v>
      </c>
      <c r="E93" s="7">
        <f t="shared" si="7"/>
        <v>49528.163495828849</v>
      </c>
      <c r="G93" s="37">
        <f t="shared" si="8"/>
        <v>1.0299796398527112</v>
      </c>
      <c r="H93" s="7"/>
      <c r="I93" s="7">
        <f t="shared" si="9"/>
        <v>1.0286640393653166</v>
      </c>
      <c r="J93">
        <f t="shared" si="10"/>
        <v>50947.840723965121</v>
      </c>
      <c r="K93" s="37">
        <f t="shared" si="11"/>
        <v>1484.8365041711513</v>
      </c>
      <c r="L93" s="7">
        <f t="shared" si="12"/>
        <v>1294.5353895351273</v>
      </c>
      <c r="M93" s="7">
        <f t="shared" si="13"/>
        <v>50822.698885363978</v>
      </c>
    </row>
    <row r="94" spans="1:13" x14ac:dyDescent="0.3">
      <c r="A94" s="4">
        <v>42917</v>
      </c>
      <c r="B94" s="5">
        <v>91</v>
      </c>
      <c r="C94" s="5" t="s">
        <v>9</v>
      </c>
      <c r="D94" s="6">
        <v>51173</v>
      </c>
      <c r="E94" s="7">
        <f t="shared" si="7"/>
        <v>49735.030125340971</v>
      </c>
      <c r="G94" s="37">
        <f t="shared" si="8"/>
        <v>1.0289126169429292</v>
      </c>
      <c r="H94" s="7"/>
      <c r="I94" s="7">
        <f t="shared" si="9"/>
        <v>1.0419379030702278</v>
      </c>
      <c r="J94">
        <f t="shared" si="10"/>
        <v>51820.812997932378</v>
      </c>
      <c r="K94" s="37">
        <f t="shared" si="11"/>
        <v>1437.9698746590293</v>
      </c>
      <c r="L94" s="7">
        <f t="shared" si="12"/>
        <v>1825.9687600229961</v>
      </c>
      <c r="M94" s="7">
        <f t="shared" si="13"/>
        <v>51560.998885363966</v>
      </c>
    </row>
    <row r="95" spans="1:13" x14ac:dyDescent="0.3">
      <c r="A95" s="4">
        <v>42948</v>
      </c>
      <c r="B95" s="5">
        <v>92</v>
      </c>
      <c r="C95" s="5" t="s">
        <v>10</v>
      </c>
      <c r="D95" s="6">
        <v>50943</v>
      </c>
      <c r="E95" s="7">
        <f t="shared" si="7"/>
        <v>49941.896754853107</v>
      </c>
      <c r="G95" s="37">
        <f t="shared" si="8"/>
        <v>1.020045358910995</v>
      </c>
      <c r="H95" s="7"/>
      <c r="I95" s="7">
        <f t="shared" si="9"/>
        <v>1.0210721918922554</v>
      </c>
      <c r="J95">
        <f t="shared" si="10"/>
        <v>50994.281986734582</v>
      </c>
      <c r="K95" s="37">
        <f t="shared" si="11"/>
        <v>1001.1032451468927</v>
      </c>
      <c r="L95" s="7">
        <f t="shared" si="12"/>
        <v>1024.102130510862</v>
      </c>
      <c r="M95" s="7">
        <f t="shared" si="13"/>
        <v>50965.998885363966</v>
      </c>
    </row>
    <row r="96" spans="1:13" x14ac:dyDescent="0.3">
      <c r="A96" s="4">
        <v>42979</v>
      </c>
      <c r="B96" s="5">
        <v>93</v>
      </c>
      <c r="C96" s="5" t="s">
        <v>11</v>
      </c>
      <c r="D96" s="6">
        <v>48447</v>
      </c>
      <c r="E96" s="7">
        <f t="shared" si="7"/>
        <v>50148.763384365244</v>
      </c>
      <c r="G96" s="37">
        <f t="shared" si="8"/>
        <v>0.96606569595102321</v>
      </c>
      <c r="H96" s="7"/>
      <c r="I96" s="7">
        <f t="shared" si="9"/>
        <v>0.95852450332883099</v>
      </c>
      <c r="J96">
        <f t="shared" si="10"/>
        <v>48068.818515553758</v>
      </c>
      <c r="K96" s="37">
        <f t="shared" si="11"/>
        <v>-1701.7633843652438</v>
      </c>
      <c r="L96" s="7">
        <f t="shared" si="12"/>
        <v>-1800.7644990012691</v>
      </c>
      <c r="M96" s="7">
        <f t="shared" si="13"/>
        <v>48347.998885363973</v>
      </c>
    </row>
    <row r="97" spans="1:13" x14ac:dyDescent="0.3">
      <c r="A97" s="4">
        <v>43009</v>
      </c>
      <c r="B97" s="5">
        <v>94</v>
      </c>
      <c r="C97" s="5" t="s">
        <v>12</v>
      </c>
      <c r="D97" s="6">
        <v>49408</v>
      </c>
      <c r="E97" s="7">
        <f t="shared" si="7"/>
        <v>50355.630013877373</v>
      </c>
      <c r="G97" s="37">
        <f t="shared" si="8"/>
        <v>0.98118124996914513</v>
      </c>
      <c r="H97" s="7"/>
      <c r="I97" s="7">
        <f t="shared" si="9"/>
        <v>0.99257375628748556</v>
      </c>
      <c r="J97">
        <f t="shared" si="10"/>
        <v>49981.67683309711</v>
      </c>
      <c r="K97" s="37">
        <f t="shared" si="11"/>
        <v>-947.63001387737313</v>
      </c>
      <c r="L97" s="7">
        <f t="shared" si="12"/>
        <v>-329.63112851340122</v>
      </c>
      <c r="M97" s="7">
        <f t="shared" si="13"/>
        <v>50025.998885363973</v>
      </c>
    </row>
    <row r="98" spans="1:13" x14ac:dyDescent="0.3">
      <c r="A98" s="4">
        <v>43040</v>
      </c>
      <c r="B98" s="5">
        <v>95</v>
      </c>
      <c r="C98" s="5" t="s">
        <v>13</v>
      </c>
      <c r="D98" s="6">
        <v>47580</v>
      </c>
      <c r="E98" s="7">
        <f t="shared" si="7"/>
        <v>50562.496643389502</v>
      </c>
      <c r="G98" s="37">
        <f t="shared" si="8"/>
        <v>0.94101365950291871</v>
      </c>
      <c r="H98" s="7"/>
      <c r="I98" s="7">
        <f t="shared" si="9"/>
        <v>0.95017130759221136</v>
      </c>
      <c r="J98">
        <f t="shared" si="10"/>
        <v>48043.033550776199</v>
      </c>
      <c r="K98" s="37">
        <f t="shared" si="11"/>
        <v>-2982.4966433895024</v>
      </c>
      <c r="L98" s="7">
        <f t="shared" si="12"/>
        <v>-2169.5977580255339</v>
      </c>
      <c r="M98" s="7">
        <f t="shared" si="13"/>
        <v>48392.898885363968</v>
      </c>
    </row>
    <row r="99" spans="1:13" x14ac:dyDescent="0.3">
      <c r="A99" s="4">
        <v>43070</v>
      </c>
      <c r="B99" s="5">
        <v>96</v>
      </c>
      <c r="C99" s="5" t="s">
        <v>14</v>
      </c>
      <c r="D99" s="6">
        <v>53037</v>
      </c>
      <c r="E99" s="7">
        <f t="shared" si="7"/>
        <v>50769.363272901639</v>
      </c>
      <c r="G99" s="37">
        <f t="shared" si="8"/>
        <v>1.0446654553240915</v>
      </c>
      <c r="H99" s="7"/>
      <c r="I99" s="7">
        <f t="shared" si="9"/>
        <v>1.0228960447222963</v>
      </c>
      <c r="J99">
        <f t="shared" si="10"/>
        <v>51931.780884920503</v>
      </c>
      <c r="K99" s="37">
        <f t="shared" si="11"/>
        <v>2267.636727098361</v>
      </c>
      <c r="L99" s="7">
        <f t="shared" si="12"/>
        <v>1085.1356124623337</v>
      </c>
      <c r="M99" s="7">
        <f t="shared" si="13"/>
        <v>51854.498885363973</v>
      </c>
    </row>
    <row r="100" spans="1:13" x14ac:dyDescent="0.3">
      <c r="A100" s="4">
        <v>43101</v>
      </c>
      <c r="B100" s="5">
        <v>97</v>
      </c>
      <c r="C100" s="5" t="s">
        <v>3</v>
      </c>
      <c r="D100" s="6">
        <v>47333</v>
      </c>
      <c r="E100" s="7">
        <f t="shared" si="7"/>
        <v>50976.229902413776</v>
      </c>
      <c r="G100" s="37">
        <f t="shared" si="8"/>
        <v>0.92853080917541009</v>
      </c>
      <c r="H100" s="7"/>
      <c r="I100" s="7">
        <f t="shared" si="9"/>
        <v>0.94152260503870033</v>
      </c>
      <c r="J100">
        <f t="shared" si="10"/>
        <v>47995.27277277231</v>
      </c>
      <c r="K100" s="37">
        <f t="shared" si="11"/>
        <v>-3643.2299024137756</v>
      </c>
      <c r="L100" s="7">
        <f t="shared" si="12"/>
        <v>-2535.931462904211</v>
      </c>
      <c r="M100" s="7">
        <f t="shared" si="13"/>
        <v>48440.298439509563</v>
      </c>
    </row>
    <row r="101" spans="1:13" x14ac:dyDescent="0.3">
      <c r="A101" s="4">
        <v>43132</v>
      </c>
      <c r="B101" s="5">
        <v>98</v>
      </c>
      <c r="C101" s="5" t="s">
        <v>4</v>
      </c>
      <c r="D101" s="6">
        <v>47095</v>
      </c>
      <c r="E101" s="7">
        <f t="shared" si="7"/>
        <v>51183.096531925898</v>
      </c>
      <c r="G101" s="37">
        <f t="shared" si="8"/>
        <v>0.92012799519904165</v>
      </c>
      <c r="H101" s="7"/>
      <c r="I101" s="7">
        <f t="shared" si="9"/>
        <v>0.93397523590397658</v>
      </c>
      <c r="J101">
        <f t="shared" si="10"/>
        <v>47803.744657701493</v>
      </c>
      <c r="K101" s="37">
        <f t="shared" si="11"/>
        <v>-4088.0965319258976</v>
      </c>
      <c r="L101" s="7">
        <f t="shared" si="12"/>
        <v>-2877.4980924163419</v>
      </c>
      <c r="M101" s="7">
        <f t="shared" si="13"/>
        <v>48305.598439509558</v>
      </c>
    </row>
    <row r="102" spans="1:13" x14ac:dyDescent="0.3">
      <c r="A102" s="4">
        <v>43160</v>
      </c>
      <c r="B102" s="5">
        <v>99</v>
      </c>
      <c r="C102" s="5" t="s">
        <v>5</v>
      </c>
      <c r="D102" s="6">
        <v>54782</v>
      </c>
      <c r="E102" s="7">
        <f t="shared" si="7"/>
        <v>51389.963161438034</v>
      </c>
      <c r="G102" s="37">
        <f t="shared" si="8"/>
        <v>1.0660058235088847</v>
      </c>
      <c r="H102" s="7"/>
      <c r="I102" s="7">
        <f t="shared" si="9"/>
        <v>1.0562766574660145</v>
      </c>
      <c r="J102">
        <f t="shared" si="10"/>
        <v>54282.018515465388</v>
      </c>
      <c r="K102" s="37">
        <f t="shared" si="11"/>
        <v>3392.0368385619659</v>
      </c>
      <c r="L102" s="7">
        <f t="shared" si="12"/>
        <v>2400.335278071524</v>
      </c>
      <c r="M102" s="7">
        <f t="shared" si="13"/>
        <v>53790.298439509555</v>
      </c>
    </row>
    <row r="103" spans="1:13" x14ac:dyDescent="0.3">
      <c r="A103" s="4">
        <v>43191</v>
      </c>
      <c r="B103" s="5">
        <v>100</v>
      </c>
      <c r="C103" s="5" t="s">
        <v>6</v>
      </c>
      <c r="D103" s="6">
        <v>51700</v>
      </c>
      <c r="E103" s="7">
        <f t="shared" si="7"/>
        <v>51596.829790950171</v>
      </c>
      <c r="G103" s="37">
        <f t="shared" si="8"/>
        <v>1.0019995455044008</v>
      </c>
      <c r="H103" s="7"/>
      <c r="I103" s="7">
        <f t="shared" si="9"/>
        <v>1.016503267626979</v>
      </c>
      <c r="J103">
        <f t="shared" si="10"/>
        <v>52448.346081693904</v>
      </c>
      <c r="K103" s="37">
        <f t="shared" si="11"/>
        <v>103.17020904982928</v>
      </c>
      <c r="L103" s="7">
        <f t="shared" si="12"/>
        <v>667.06864855939386</v>
      </c>
      <c r="M103" s="7">
        <f t="shared" si="13"/>
        <v>52263.898439509561</v>
      </c>
    </row>
    <row r="104" spans="1:13" x14ac:dyDescent="0.3">
      <c r="A104" s="4">
        <v>43221</v>
      </c>
      <c r="B104" s="5">
        <v>101</v>
      </c>
      <c r="C104" s="5" t="s">
        <v>7</v>
      </c>
      <c r="D104" s="6">
        <v>55395</v>
      </c>
      <c r="E104" s="7">
        <f t="shared" si="7"/>
        <v>51803.6964204623</v>
      </c>
      <c r="G104" s="37">
        <f t="shared" si="8"/>
        <v>1.0693252379210365</v>
      </c>
      <c r="H104" s="7"/>
      <c r="I104" s="7">
        <f t="shared" si="9"/>
        <v>1.0607045000422339</v>
      </c>
      <c r="J104">
        <f t="shared" si="10"/>
        <v>54948.41391200613</v>
      </c>
      <c r="K104" s="37">
        <f t="shared" si="11"/>
        <v>3591.3035795377</v>
      </c>
      <c r="L104" s="7">
        <f t="shared" si="12"/>
        <v>2632.5020190472605</v>
      </c>
      <c r="M104" s="7">
        <f t="shared" si="13"/>
        <v>54436.198439509564</v>
      </c>
    </row>
    <row r="105" spans="1:13" x14ac:dyDescent="0.3">
      <c r="A105" s="4">
        <v>43252</v>
      </c>
      <c r="B105" s="5">
        <v>102</v>
      </c>
      <c r="C105" s="5" t="s">
        <v>8</v>
      </c>
      <c r="D105" s="6">
        <v>55556</v>
      </c>
      <c r="E105" s="7">
        <f t="shared" si="7"/>
        <v>52010.563049974429</v>
      </c>
      <c r="G105" s="37">
        <f t="shared" si="8"/>
        <v>1.0681676325368548</v>
      </c>
      <c r="H105" s="7"/>
      <c r="I105" s="7">
        <f t="shared" si="9"/>
        <v>1.0286640393653166</v>
      </c>
      <c r="J105">
        <f t="shared" si="10"/>
        <v>53501.395876651179</v>
      </c>
      <c r="K105" s="37">
        <f t="shared" si="11"/>
        <v>3545.4369500255707</v>
      </c>
      <c r="L105" s="7">
        <f t="shared" si="12"/>
        <v>1294.5353895351273</v>
      </c>
      <c r="M105" s="7">
        <f t="shared" si="13"/>
        <v>53305.098439509558</v>
      </c>
    </row>
    <row r="106" spans="1:13" x14ac:dyDescent="0.3">
      <c r="A106" s="4">
        <v>43282</v>
      </c>
      <c r="B106" s="5">
        <v>103</v>
      </c>
      <c r="C106" s="5" t="s">
        <v>9</v>
      </c>
      <c r="D106" s="6">
        <v>55840</v>
      </c>
      <c r="E106" s="7">
        <f t="shared" si="7"/>
        <v>52217.429679486566</v>
      </c>
      <c r="G106" s="37">
        <f t="shared" si="8"/>
        <v>1.0693747345043403</v>
      </c>
      <c r="H106" s="7"/>
      <c r="I106" s="7">
        <f t="shared" si="9"/>
        <v>1.0419379030702278</v>
      </c>
      <c r="J106">
        <f t="shared" si="10"/>
        <v>54407.319183961314</v>
      </c>
      <c r="K106" s="37">
        <f t="shared" si="11"/>
        <v>3622.5703205134341</v>
      </c>
      <c r="L106" s="7">
        <f t="shared" si="12"/>
        <v>1825.9687600229961</v>
      </c>
      <c r="M106" s="7">
        <f t="shared" si="13"/>
        <v>54043.398439509561</v>
      </c>
    </row>
    <row r="107" spans="1:13" x14ac:dyDescent="0.3">
      <c r="A107" s="4">
        <v>43313</v>
      </c>
      <c r="B107" s="5">
        <v>104</v>
      </c>
      <c r="C107" s="5" t="s">
        <v>10</v>
      </c>
      <c r="D107" s="6">
        <v>56029</v>
      </c>
      <c r="E107" s="7">
        <f t="shared" si="7"/>
        <v>52424.296308998702</v>
      </c>
      <c r="G107" s="37">
        <f t="shared" si="8"/>
        <v>1.0687601731409897</v>
      </c>
      <c r="H107" s="7"/>
      <c r="I107" s="7">
        <f t="shared" si="9"/>
        <v>1.0210721918922554</v>
      </c>
      <c r="J107">
        <f t="shared" si="10"/>
        <v>53528.991140638376</v>
      </c>
      <c r="K107" s="37">
        <f t="shared" si="11"/>
        <v>3604.7036910012976</v>
      </c>
      <c r="L107" s="7">
        <f t="shared" si="12"/>
        <v>1024.102130510862</v>
      </c>
      <c r="M107" s="7">
        <f t="shared" si="13"/>
        <v>53448.398439509561</v>
      </c>
    </row>
    <row r="108" spans="1:13" x14ac:dyDescent="0.3">
      <c r="A108" s="4">
        <v>43344</v>
      </c>
      <c r="B108" s="5">
        <v>105</v>
      </c>
      <c r="C108" s="5" t="s">
        <v>11</v>
      </c>
      <c r="D108" s="6">
        <v>50923</v>
      </c>
      <c r="E108" s="7">
        <f t="shared" si="7"/>
        <v>52631.162938510824</v>
      </c>
      <c r="G108" s="37">
        <f t="shared" si="8"/>
        <v>0.96754464763572723</v>
      </c>
      <c r="H108" s="7"/>
      <c r="I108" s="7">
        <f t="shared" si="9"/>
        <v>0.95852450332883099</v>
      </c>
      <c r="J108">
        <f t="shared" si="10"/>
        <v>50448.259315254865</v>
      </c>
      <c r="K108" s="37">
        <f t="shared" si="11"/>
        <v>-1708.1629385108245</v>
      </c>
      <c r="L108" s="7">
        <f t="shared" si="12"/>
        <v>-1800.7644990012691</v>
      </c>
      <c r="M108" s="7">
        <f t="shared" si="13"/>
        <v>50830.398439509554</v>
      </c>
    </row>
    <row r="109" spans="1:13" x14ac:dyDescent="0.3">
      <c r="A109" s="4">
        <v>43374</v>
      </c>
      <c r="B109" s="5">
        <v>106</v>
      </c>
      <c r="C109" s="5" t="s">
        <v>12</v>
      </c>
      <c r="D109" s="6">
        <v>52322</v>
      </c>
      <c r="E109" s="7">
        <f t="shared" si="7"/>
        <v>52838.029568022961</v>
      </c>
      <c r="G109" s="37">
        <f t="shared" si="8"/>
        <v>0.99023374693867738</v>
      </c>
      <c r="H109" s="7"/>
      <c r="I109" s="7">
        <f t="shared" si="9"/>
        <v>0.99257375628748556</v>
      </c>
      <c r="J109">
        <f t="shared" si="10"/>
        <v>52445.64148316178</v>
      </c>
      <c r="K109" s="37">
        <f t="shared" si="11"/>
        <v>-516.02956802296103</v>
      </c>
      <c r="L109" s="7">
        <f t="shared" si="12"/>
        <v>-329.63112851340122</v>
      </c>
      <c r="M109" s="7">
        <f t="shared" si="13"/>
        <v>52508.398439509561</v>
      </c>
    </row>
    <row r="110" spans="1:13" x14ac:dyDescent="0.3">
      <c r="A110" s="4">
        <v>43405</v>
      </c>
      <c r="B110" s="5">
        <v>107</v>
      </c>
      <c r="C110" s="5" t="s">
        <v>13</v>
      </c>
      <c r="D110" s="6">
        <v>50429</v>
      </c>
      <c r="E110" s="7">
        <f t="shared" si="7"/>
        <v>53044.896197535098</v>
      </c>
      <c r="G110" s="37">
        <f t="shared" si="8"/>
        <v>0.95068524240685282</v>
      </c>
      <c r="H110" s="7"/>
      <c r="I110" s="7">
        <f t="shared" si="9"/>
        <v>0.95017130759221136</v>
      </c>
      <c r="J110">
        <f t="shared" si="10"/>
        <v>50401.738381105046</v>
      </c>
      <c r="K110" s="37">
        <f t="shared" si="11"/>
        <v>-2615.8961975350976</v>
      </c>
      <c r="L110" s="7">
        <f t="shared" si="12"/>
        <v>-2169.5977580255339</v>
      </c>
      <c r="M110" s="7">
        <f t="shared" si="13"/>
        <v>50875.298439509563</v>
      </c>
    </row>
    <row r="111" spans="1:13" x14ac:dyDescent="0.3">
      <c r="A111" s="4">
        <v>43435</v>
      </c>
      <c r="B111" s="5">
        <v>108</v>
      </c>
      <c r="C111" s="5" t="s">
        <v>14</v>
      </c>
      <c r="D111" s="6">
        <v>54567</v>
      </c>
      <c r="E111" s="7">
        <f t="shared" si="7"/>
        <v>53251.762827047227</v>
      </c>
      <c r="G111" s="37">
        <f t="shared" si="8"/>
        <v>1.0246984719965879</v>
      </c>
      <c r="H111" s="7"/>
      <c r="I111" s="7">
        <f t="shared" si="9"/>
        <v>1.0228960447222963</v>
      </c>
      <c r="J111">
        <f t="shared" si="10"/>
        <v>54471.017570276417</v>
      </c>
      <c r="K111" s="37">
        <f t="shared" si="11"/>
        <v>1315.2371729527731</v>
      </c>
      <c r="L111" s="7">
        <f t="shared" si="12"/>
        <v>1085.1356124623337</v>
      </c>
      <c r="M111" s="7">
        <f t="shared" si="13"/>
        <v>54336.898439509561</v>
      </c>
    </row>
    <row r="112" spans="1:13" x14ac:dyDescent="0.3">
      <c r="A112" s="4">
        <v>43466</v>
      </c>
      <c r="B112" s="5">
        <v>109</v>
      </c>
      <c r="C112" s="5" t="s">
        <v>3</v>
      </c>
      <c r="D112" s="6">
        <v>49445</v>
      </c>
      <c r="E112" s="7">
        <f t="shared" si="7"/>
        <v>53458.629456559356</v>
      </c>
      <c r="G112" s="37">
        <f t="shared" si="8"/>
        <v>0.92492083135388192</v>
      </c>
      <c r="H112" s="22" t="s">
        <v>49</v>
      </c>
      <c r="I112" s="7">
        <f t="shared" si="9"/>
        <v>0.94152260503870033</v>
      </c>
      <c r="J112">
        <f t="shared" si="10"/>
        <v>50332.508067738367</v>
      </c>
      <c r="K112" s="37">
        <f t="shared" si="11"/>
        <v>-4013.6294565593562</v>
      </c>
      <c r="L112" s="7">
        <f t="shared" si="12"/>
        <v>-2535.931462904211</v>
      </c>
      <c r="M112" s="7">
        <f t="shared" si="13"/>
        <v>50922.697993655143</v>
      </c>
    </row>
    <row r="113" spans="1:13" x14ac:dyDescent="0.3">
      <c r="A113" s="4">
        <v>43497</v>
      </c>
      <c r="B113" s="5">
        <v>110</v>
      </c>
      <c r="C113" s="5" t="s">
        <v>4</v>
      </c>
      <c r="D113" s="6">
        <v>49162</v>
      </c>
      <c r="E113" s="7">
        <f t="shared" si="7"/>
        <v>53665.496086071493</v>
      </c>
      <c r="G113" s="37">
        <f t="shared" si="8"/>
        <v>0.9160820934395435</v>
      </c>
      <c r="H113" s="22" t="s">
        <v>49</v>
      </c>
      <c r="I113" s="7">
        <f t="shared" si="9"/>
        <v>0.93397523590397658</v>
      </c>
      <c r="J113">
        <f t="shared" si="10"/>
        <v>50122.244366892555</v>
      </c>
      <c r="K113" s="37">
        <f t="shared" si="11"/>
        <v>-4503.4960860714928</v>
      </c>
      <c r="L113" s="7">
        <f t="shared" si="12"/>
        <v>-2877.4980924163419</v>
      </c>
      <c r="M113" s="7">
        <f t="shared" si="13"/>
        <v>50787.997993655154</v>
      </c>
    </row>
    <row r="114" spans="1:13" x14ac:dyDescent="0.3">
      <c r="A114" s="4">
        <v>43525</v>
      </c>
      <c r="B114" s="5">
        <v>111</v>
      </c>
      <c r="C114" s="5" t="s">
        <v>5</v>
      </c>
      <c r="D114" s="6">
        <v>57230</v>
      </c>
      <c r="E114" s="7">
        <f t="shared" si="7"/>
        <v>53872.362715583629</v>
      </c>
      <c r="G114" s="37">
        <f t="shared" si="8"/>
        <v>1.0623257847839873</v>
      </c>
      <c r="H114" s="22" t="s">
        <v>49</v>
      </c>
      <c r="I114" s="7">
        <f t="shared" si="9"/>
        <v>1.0562766574660145</v>
      </c>
      <c r="J114">
        <f t="shared" si="10"/>
        <v>56904.119219013417</v>
      </c>
      <c r="K114" s="37">
        <f t="shared" si="11"/>
        <v>3357.6372844163707</v>
      </c>
      <c r="L114" s="7">
        <f t="shared" si="12"/>
        <v>2400.335278071524</v>
      </c>
      <c r="M114" s="7">
        <f t="shared" si="13"/>
        <v>56272.697993655151</v>
      </c>
    </row>
    <row r="115" spans="1:13" x14ac:dyDescent="0.3">
      <c r="A115" s="4">
        <v>43556</v>
      </c>
      <c r="B115" s="5">
        <v>112</v>
      </c>
      <c r="C115" s="5" t="s">
        <v>6</v>
      </c>
      <c r="D115" s="6">
        <v>54723</v>
      </c>
      <c r="E115" s="7">
        <f t="shared" si="7"/>
        <v>54079.229345095751</v>
      </c>
      <c r="G115" s="37">
        <f t="shared" si="8"/>
        <v>1.011904212813318</v>
      </c>
      <c r="H115" s="22" t="s">
        <v>49</v>
      </c>
      <c r="I115" s="7">
        <f t="shared" si="9"/>
        <v>1.016503267626979</v>
      </c>
      <c r="J115">
        <f t="shared" si="10"/>
        <v>54971.713340038637</v>
      </c>
      <c r="K115" s="37">
        <f t="shared" si="11"/>
        <v>643.77065490424866</v>
      </c>
      <c r="L115" s="7">
        <f t="shared" si="12"/>
        <v>667.06864855939386</v>
      </c>
      <c r="M115" s="7">
        <f t="shared" si="13"/>
        <v>54746.297993655142</v>
      </c>
    </row>
    <row r="116" spans="1:13" x14ac:dyDescent="0.3">
      <c r="A116" s="4">
        <v>43586</v>
      </c>
      <c r="B116" s="5">
        <v>113</v>
      </c>
      <c r="C116" s="5" t="s">
        <v>7</v>
      </c>
      <c r="D116" s="6">
        <v>58681</v>
      </c>
      <c r="E116" s="7">
        <f t="shared" si="7"/>
        <v>54286.095974607888</v>
      </c>
      <c r="G116" s="37">
        <f t="shared" si="8"/>
        <v>1.0809581891364561</v>
      </c>
      <c r="H116" s="22" t="s">
        <v>49</v>
      </c>
      <c r="I116" s="7">
        <f t="shared" si="9"/>
        <v>1.0607045000422339</v>
      </c>
      <c r="J116">
        <f t="shared" si="10"/>
        <v>57581.506289991186</v>
      </c>
      <c r="K116" s="37">
        <f t="shared" si="11"/>
        <v>4394.9040253921121</v>
      </c>
      <c r="L116" s="7">
        <f t="shared" si="12"/>
        <v>2632.5020190472605</v>
      </c>
      <c r="M116" s="7">
        <f t="shared" si="13"/>
        <v>56918.597993655145</v>
      </c>
    </row>
    <row r="117" spans="1:13" x14ac:dyDescent="0.3">
      <c r="A117" s="4">
        <v>43617</v>
      </c>
      <c r="B117" s="5">
        <v>114</v>
      </c>
      <c r="C117" s="5" t="s">
        <v>8</v>
      </c>
      <c r="D117" s="6">
        <v>57911</v>
      </c>
      <c r="E117" s="7">
        <f t="shared" si="7"/>
        <v>54492.962604120024</v>
      </c>
      <c r="G117" s="37">
        <f t="shared" si="8"/>
        <v>1.0627243818749827</v>
      </c>
      <c r="H117" s="22" t="s">
        <v>49</v>
      </c>
      <c r="I117" s="7">
        <f t="shared" si="9"/>
        <v>1.0286640393653166</v>
      </c>
      <c r="J117">
        <f t="shared" si="10"/>
        <v>56054.951029337244</v>
      </c>
      <c r="K117" s="37">
        <f t="shared" si="11"/>
        <v>3418.0373958799755</v>
      </c>
      <c r="L117" s="7">
        <f t="shared" si="12"/>
        <v>1294.5353895351273</v>
      </c>
      <c r="M117" s="7">
        <f t="shared" si="13"/>
        <v>55787.497993655154</v>
      </c>
    </row>
    <row r="118" spans="1:13" x14ac:dyDescent="0.3">
      <c r="A118" s="4">
        <v>43647</v>
      </c>
      <c r="B118" s="5">
        <v>115</v>
      </c>
      <c r="C118" s="5" t="s">
        <v>9</v>
      </c>
      <c r="D118" s="6">
        <v>58456</v>
      </c>
      <c r="E118" s="7">
        <f t="shared" si="7"/>
        <v>54699.829233632154</v>
      </c>
      <c r="G118" s="37">
        <f t="shared" si="8"/>
        <v>1.0686687841441809</v>
      </c>
      <c r="H118" s="22" t="s">
        <v>49</v>
      </c>
      <c r="I118" s="7">
        <f t="shared" si="9"/>
        <v>1.0419379030702278</v>
      </c>
      <c r="J118">
        <f t="shared" si="10"/>
        <v>56993.825369990234</v>
      </c>
      <c r="K118" s="37">
        <f t="shared" si="11"/>
        <v>3756.1707663678462</v>
      </c>
      <c r="L118" s="7">
        <f t="shared" si="12"/>
        <v>1825.9687600229961</v>
      </c>
      <c r="M118" s="7">
        <f t="shared" si="13"/>
        <v>56525.797993655149</v>
      </c>
    </row>
    <row r="119" spans="1:13" x14ac:dyDescent="0.3">
      <c r="A119" s="4">
        <v>43678</v>
      </c>
      <c r="B119" s="5">
        <v>116</v>
      </c>
      <c r="C119" s="5" t="s">
        <v>10</v>
      </c>
      <c r="D119" s="6">
        <v>59213</v>
      </c>
      <c r="E119" s="7">
        <f t="shared" si="7"/>
        <v>54906.695863144283</v>
      </c>
      <c r="G119" s="37">
        <f t="shared" si="8"/>
        <v>1.0784294896853608</v>
      </c>
      <c r="H119" s="22" t="s">
        <v>49</v>
      </c>
      <c r="I119" s="7">
        <f t="shared" si="9"/>
        <v>1.0210721918922554</v>
      </c>
      <c r="J119">
        <f t="shared" si="10"/>
        <v>56063.700294542163</v>
      </c>
      <c r="K119" s="37">
        <f t="shared" si="11"/>
        <v>4306.3041368557169</v>
      </c>
      <c r="L119" s="7">
        <f t="shared" si="12"/>
        <v>1024.102130510862</v>
      </c>
      <c r="M119" s="7">
        <f t="shared" si="13"/>
        <v>55930.797993655142</v>
      </c>
    </row>
    <row r="120" spans="1:13" x14ac:dyDescent="0.3">
      <c r="A120" s="4">
        <v>43709</v>
      </c>
      <c r="B120" s="5">
        <v>117</v>
      </c>
      <c r="C120" s="5" t="s">
        <v>11</v>
      </c>
      <c r="D120" s="6">
        <v>53997</v>
      </c>
      <c r="E120" s="7">
        <f t="shared" si="7"/>
        <v>55113.56249265642</v>
      </c>
      <c r="G120" s="37">
        <f t="shared" si="8"/>
        <v>0.97974069462838309</v>
      </c>
      <c r="H120" s="22" t="s">
        <v>49</v>
      </c>
      <c r="I120" s="7">
        <f t="shared" si="9"/>
        <v>0.95852450332883099</v>
      </c>
      <c r="J120">
        <f t="shared" si="10"/>
        <v>52827.70011495598</v>
      </c>
      <c r="K120" s="37">
        <f t="shared" si="11"/>
        <v>-1116.5624926564196</v>
      </c>
      <c r="L120" s="7">
        <f t="shared" si="12"/>
        <v>-1800.7644990012691</v>
      </c>
      <c r="M120" s="7">
        <f t="shared" si="13"/>
        <v>53312.797993655149</v>
      </c>
    </row>
    <row r="121" spans="1:13" x14ac:dyDescent="0.3">
      <c r="A121" s="4">
        <v>43739</v>
      </c>
      <c r="B121" s="5">
        <v>118</v>
      </c>
      <c r="C121" s="5" t="s">
        <v>12</v>
      </c>
      <c r="D121" s="6">
        <v>55928</v>
      </c>
      <c r="E121" s="7">
        <f t="shared" si="7"/>
        <v>55320.429122168549</v>
      </c>
      <c r="G121" s="37">
        <f t="shared" si="8"/>
        <v>1.0109827578612904</v>
      </c>
      <c r="H121" s="22" t="s">
        <v>49</v>
      </c>
      <c r="I121" s="7">
        <f t="shared" si="9"/>
        <v>0.99257375628748556</v>
      </c>
      <c r="J121">
        <f t="shared" si="10"/>
        <v>54909.606133226443</v>
      </c>
      <c r="K121" s="37">
        <f t="shared" si="11"/>
        <v>607.57087783145107</v>
      </c>
      <c r="L121" s="7">
        <f t="shared" si="12"/>
        <v>-329.63112851340122</v>
      </c>
      <c r="M121" s="7">
        <f t="shared" si="13"/>
        <v>54990.797993655149</v>
      </c>
    </row>
    <row r="122" spans="1:13" x14ac:dyDescent="0.3">
      <c r="A122" s="4">
        <v>43770</v>
      </c>
      <c r="B122" s="5">
        <v>119</v>
      </c>
      <c r="C122" s="5" t="s">
        <v>13</v>
      </c>
      <c r="D122" s="6">
        <v>54579</v>
      </c>
      <c r="E122" s="7">
        <f t="shared" si="7"/>
        <v>55527.295751680678</v>
      </c>
      <c r="G122" s="37">
        <f t="shared" si="8"/>
        <v>0.98292198928754826</v>
      </c>
      <c r="H122" s="22" t="s">
        <v>49</v>
      </c>
      <c r="I122" s="7">
        <f t="shared" si="9"/>
        <v>0.95017130759221136</v>
      </c>
      <c r="J122">
        <f t="shared" si="10"/>
        <v>52760.443211433871</v>
      </c>
      <c r="K122" s="37">
        <f t="shared" si="11"/>
        <v>-948.29575168067822</v>
      </c>
      <c r="L122" s="7">
        <f t="shared" si="12"/>
        <v>-2169.5977580255339</v>
      </c>
      <c r="M122" s="7">
        <f t="shared" si="13"/>
        <v>53357.697993655143</v>
      </c>
    </row>
    <row r="123" spans="1:13" x14ac:dyDescent="0.3">
      <c r="A123" s="4">
        <v>43800</v>
      </c>
      <c r="B123" s="5">
        <v>120</v>
      </c>
      <c r="C123" s="5" t="s">
        <v>14</v>
      </c>
      <c r="D123" s="6">
        <v>57994</v>
      </c>
      <c r="E123" s="7">
        <f t="shared" si="7"/>
        <v>55734.162381192815</v>
      </c>
      <c r="G123" s="37">
        <f t="shared" si="8"/>
        <v>1.0405467225532352</v>
      </c>
      <c r="H123" s="22" t="s">
        <v>49</v>
      </c>
      <c r="I123" s="7">
        <f t="shared" si="9"/>
        <v>1.0228960447222963</v>
      </c>
      <c r="J123">
        <f t="shared" si="10"/>
        <v>57010.254255632331</v>
      </c>
      <c r="K123" s="37">
        <f t="shared" si="11"/>
        <v>2259.8376188071852</v>
      </c>
      <c r="L123" s="7">
        <f t="shared" si="12"/>
        <v>1085.1356124623337</v>
      </c>
      <c r="M123" s="7">
        <f t="shared" si="13"/>
        <v>56819.297993655149</v>
      </c>
    </row>
    <row r="124" spans="1:13" x14ac:dyDescent="0.3">
      <c r="A124" s="1"/>
    </row>
    <row r="125" spans="1:13" x14ac:dyDescent="0.3">
      <c r="A125" s="1"/>
    </row>
    <row r="126" spans="1:13" x14ac:dyDescent="0.3">
      <c r="A126" s="1"/>
    </row>
    <row r="127" spans="1:13" x14ac:dyDescent="0.3">
      <c r="A127" s="1"/>
    </row>
    <row r="128" spans="1:13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</sheetData>
  <mergeCells count="2">
    <mergeCell ref="A2:E2"/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EC08-B62E-4D51-A614-8CC3AC7A2BED}">
  <dimension ref="A2:AH341"/>
  <sheetViews>
    <sheetView topLeftCell="A100" workbookViewId="0">
      <selection activeCell="L117" sqref="L117"/>
    </sheetView>
  </sheetViews>
  <sheetFormatPr defaultColWidth="8.77734375" defaultRowHeight="14.4" x14ac:dyDescent="0.3"/>
  <cols>
    <col min="1" max="1" width="9.109375" bestFit="1" customWidth="1"/>
    <col min="4" max="4" width="11.88671875" customWidth="1"/>
    <col min="6" max="7" width="10.109375" bestFit="1" customWidth="1"/>
    <col min="8" max="8" width="18.33203125" customWidth="1"/>
    <col min="9" max="9" width="19.44140625" customWidth="1"/>
    <col min="11" max="11" width="10" bestFit="1" customWidth="1"/>
    <col min="12" max="12" width="10.109375" bestFit="1" customWidth="1"/>
    <col min="13" max="13" width="11.109375" bestFit="1" customWidth="1"/>
    <col min="15" max="15" width="13.77734375" bestFit="1" customWidth="1"/>
    <col min="29" max="29" width="20.77734375" bestFit="1" customWidth="1"/>
    <col min="33" max="33" width="11.6640625" bestFit="1" customWidth="1"/>
  </cols>
  <sheetData>
    <row r="2" spans="1:34" ht="15" thickBot="1" x14ac:dyDescent="0.35">
      <c r="E2" s="2" t="s">
        <v>31</v>
      </c>
      <c r="J2" s="2" t="s">
        <v>32</v>
      </c>
    </row>
    <row r="3" spans="1:34" ht="18" x14ac:dyDescent="0.35">
      <c r="A3" s="2" t="s">
        <v>16</v>
      </c>
      <c r="B3" s="2" t="s">
        <v>1</v>
      </c>
      <c r="C3" s="2" t="s">
        <v>2</v>
      </c>
      <c r="D3" s="2" t="s">
        <v>30</v>
      </c>
      <c r="E3" s="2" t="s">
        <v>28</v>
      </c>
      <c r="F3" s="2" t="s">
        <v>29</v>
      </c>
      <c r="J3" s="2" t="s">
        <v>28</v>
      </c>
      <c r="K3" s="2" t="s">
        <v>38</v>
      </c>
      <c r="L3" s="2" t="s">
        <v>39</v>
      </c>
      <c r="M3" s="2"/>
      <c r="AC3" s="25" t="s">
        <v>40</v>
      </c>
      <c r="AD3" s="26"/>
      <c r="AE3" s="26"/>
      <c r="AF3" s="26"/>
      <c r="AG3" s="33"/>
      <c r="AH3" s="34"/>
    </row>
    <row r="4" spans="1:34" ht="18" x14ac:dyDescent="0.35">
      <c r="A4" s="4">
        <v>40179</v>
      </c>
      <c r="B4" s="5">
        <v>1</v>
      </c>
      <c r="C4" s="5" t="s">
        <v>3</v>
      </c>
      <c r="D4" s="6">
        <v>30481</v>
      </c>
      <c r="E4">
        <v>0.23025925698999955</v>
      </c>
      <c r="F4" s="15">
        <f>D4</f>
        <v>30481</v>
      </c>
      <c r="J4">
        <v>0.71186681574701804</v>
      </c>
      <c r="K4" s="15">
        <f>D5-D4</f>
        <v>-405</v>
      </c>
      <c r="L4" s="15">
        <f>D4</f>
        <v>30481</v>
      </c>
      <c r="AC4" s="27"/>
      <c r="AD4" s="23" t="s">
        <v>28</v>
      </c>
      <c r="AE4" s="23" t="s">
        <v>36</v>
      </c>
      <c r="AF4" s="23" t="s">
        <v>33</v>
      </c>
      <c r="AG4" s="28" t="s">
        <v>34</v>
      </c>
    </row>
    <row r="5" spans="1:34" ht="18" x14ac:dyDescent="0.35">
      <c r="A5" s="4">
        <v>40210</v>
      </c>
      <c r="B5" s="5">
        <v>2</v>
      </c>
      <c r="C5" s="5" t="s">
        <v>4</v>
      </c>
      <c r="D5" s="6">
        <v>30076</v>
      </c>
      <c r="F5" s="15">
        <f>$E$4*D4+(1-$E$4)*F4</f>
        <v>30481</v>
      </c>
      <c r="J5" s="2" t="s">
        <v>36</v>
      </c>
      <c r="K5" s="15">
        <f>$J$6*(L5-L4)+(1-$J$6)*K4</f>
        <v>-405</v>
      </c>
      <c r="L5" s="15">
        <f>$J$4*D5+(1-$J$4)*(L4+K4)</f>
        <v>30076</v>
      </c>
      <c r="AC5" s="27" t="s">
        <v>41</v>
      </c>
      <c r="AD5" s="24">
        <v>0.7</v>
      </c>
      <c r="AE5" s="24" t="s">
        <v>45</v>
      </c>
      <c r="AF5" s="40">
        <v>0.09</v>
      </c>
      <c r="AG5" s="29">
        <v>5646.7753426999998</v>
      </c>
    </row>
    <row r="6" spans="1:34" ht="18" x14ac:dyDescent="0.35">
      <c r="A6" s="4">
        <v>40238</v>
      </c>
      <c r="B6" s="5">
        <v>3</v>
      </c>
      <c r="C6" s="5" t="s">
        <v>5</v>
      </c>
      <c r="D6" s="6">
        <v>33645</v>
      </c>
      <c r="F6" s="15">
        <f>$E$4*D5+(1-$E$4)*F5</f>
        <v>30387.745000919051</v>
      </c>
      <c r="J6">
        <v>0.434912709447421</v>
      </c>
      <c r="K6" s="15">
        <f t="shared" ref="K6:K69" si="0">$J$6*(L6-L5)+(1-$J$6)*K5</f>
        <v>825.35010434331548</v>
      </c>
      <c r="L6" s="15">
        <f>$J$4*D6+(1-$J$4)*(L5+K5)</f>
        <v>32499.958725778648</v>
      </c>
      <c r="AC6" s="27" t="s">
        <v>43</v>
      </c>
      <c r="AD6" s="24">
        <v>0.7</v>
      </c>
      <c r="AE6" s="24" t="s">
        <v>45</v>
      </c>
      <c r="AF6" s="40">
        <v>7.0000000000000007E-2</v>
      </c>
      <c r="AG6" s="29">
        <v>4552.9356760000001</v>
      </c>
    </row>
    <row r="7" spans="1:34" ht="18" x14ac:dyDescent="0.35">
      <c r="A7" s="4">
        <v>40269</v>
      </c>
      <c r="B7" s="5">
        <v>4</v>
      </c>
      <c r="C7" s="5" t="s">
        <v>6</v>
      </c>
      <c r="D7" s="6">
        <v>33287</v>
      </c>
      <c r="F7" s="15">
        <f t="shared" ref="F7:F70" si="1">$E$4*D6+(1-$E$4)*F6</f>
        <v>31137.758116834397</v>
      </c>
      <c r="K7" s="15">
        <f t="shared" si="0"/>
        <v>813.48969338764437</v>
      </c>
      <c r="L7" s="15">
        <f>$J$4*D7+(1-$J$4)*(L6+K6)</f>
        <v>33298.038045208043</v>
      </c>
      <c r="AC7" s="27" t="s">
        <v>42</v>
      </c>
      <c r="AD7" s="24">
        <v>0.7</v>
      </c>
      <c r="AE7" s="24">
        <v>0.4</v>
      </c>
      <c r="AF7" s="24">
        <v>4.7625000000000001E-2</v>
      </c>
      <c r="AG7" s="41">
        <v>2992.89</v>
      </c>
    </row>
    <row r="8" spans="1:34" ht="18.600000000000001" thickBot="1" x14ac:dyDescent="0.4">
      <c r="A8" s="4">
        <v>40299</v>
      </c>
      <c r="B8" s="5">
        <v>5</v>
      </c>
      <c r="C8" s="5" t="s">
        <v>7</v>
      </c>
      <c r="D8" s="6">
        <v>34623</v>
      </c>
      <c r="F8" s="15">
        <f t="shared" si="1"/>
        <v>31632.640955943898</v>
      </c>
      <c r="K8" s="15">
        <f t="shared" si="0"/>
        <v>971.84146746603108</v>
      </c>
      <c r="L8" s="15">
        <f t="shared" ref="L8:L69" si="2">$J$4*D8+(1-$J$4)*(L7+K7)</f>
        <v>34475.627868664502</v>
      </c>
      <c r="AC8" s="30" t="s">
        <v>44</v>
      </c>
      <c r="AD8" s="31">
        <v>0.71186681574701804</v>
      </c>
      <c r="AE8" s="31">
        <v>0.434912709447421</v>
      </c>
      <c r="AF8" s="31">
        <v>4.5880999999999998E-2</v>
      </c>
      <c r="AG8" s="32">
        <v>2862.52</v>
      </c>
    </row>
    <row r="9" spans="1:34" x14ac:dyDescent="0.3">
      <c r="A9" s="4">
        <v>40330</v>
      </c>
      <c r="B9" s="5">
        <v>6</v>
      </c>
      <c r="C9" s="5" t="s">
        <v>8</v>
      </c>
      <c r="D9" s="6">
        <v>33595</v>
      </c>
      <c r="F9" s="15">
        <f t="shared" si="1"/>
        <v>32321.198807561581</v>
      </c>
      <c r="K9" s="15">
        <f t="shared" si="0"/>
        <v>398.31709881958238</v>
      </c>
      <c r="L9" s="15">
        <f t="shared" si="2"/>
        <v>34128.757888550303</v>
      </c>
    </row>
    <row r="10" spans="1:34" x14ac:dyDescent="0.3">
      <c r="A10" s="4">
        <v>40360</v>
      </c>
      <c r="B10" s="5">
        <v>7</v>
      </c>
      <c r="C10" s="5" t="s">
        <v>9</v>
      </c>
      <c r="D10" s="6">
        <v>35062</v>
      </c>
      <c r="F10" s="15">
        <f t="shared" si="1"/>
        <v>32614.503323685429</v>
      </c>
      <c r="K10" s="15">
        <f t="shared" si="0"/>
        <v>563.9298429326459</v>
      </c>
      <c r="L10" s="15">
        <f t="shared" si="2"/>
        <v>34907.87035277432</v>
      </c>
    </row>
    <row r="11" spans="1:34" x14ac:dyDescent="0.3">
      <c r="A11" s="4">
        <v>40391</v>
      </c>
      <c r="B11" s="5">
        <v>8</v>
      </c>
      <c r="C11" s="5" t="s">
        <v>10</v>
      </c>
      <c r="D11" s="6">
        <v>34358</v>
      </c>
      <c r="F11" s="15">
        <f t="shared" si="1"/>
        <v>33178.062089859115</v>
      </c>
      <c r="K11" s="15">
        <f t="shared" si="0"/>
        <v>219.09738520600541</v>
      </c>
      <c r="L11" s="15">
        <f t="shared" si="2"/>
        <v>34678.922797010644</v>
      </c>
    </row>
    <row r="12" spans="1:34" x14ac:dyDescent="0.3">
      <c r="A12" s="4">
        <v>40422</v>
      </c>
      <c r="B12" s="5">
        <v>9</v>
      </c>
      <c r="C12" s="5" t="s">
        <v>11</v>
      </c>
      <c r="D12" s="6">
        <v>31780</v>
      </c>
      <c r="F12" s="15">
        <f t="shared" si="1"/>
        <v>33449.753716342493</v>
      </c>
      <c r="K12" s="15">
        <f t="shared" si="0"/>
        <v>-746.24143123456395</v>
      </c>
      <c r="L12" s="15">
        <f t="shared" si="2"/>
        <v>32678.405083667145</v>
      </c>
    </row>
    <row r="13" spans="1:34" x14ac:dyDescent="0.3">
      <c r="A13" s="4">
        <v>40452</v>
      </c>
      <c r="B13" s="5">
        <v>10</v>
      </c>
      <c r="C13" s="5" t="s">
        <v>12</v>
      </c>
      <c r="D13" s="6">
        <v>33607</v>
      </c>
      <c r="F13" s="15">
        <f t="shared" si="1"/>
        <v>33065.277466261185</v>
      </c>
      <c r="K13" s="15">
        <f t="shared" si="0"/>
        <v>-227.71222263175656</v>
      </c>
      <c r="L13" s="15">
        <f t="shared" si="2"/>
        <v>33124.424070072768</v>
      </c>
    </row>
    <row r="14" spans="1:34" x14ac:dyDescent="0.3">
      <c r="A14" s="4">
        <v>40483</v>
      </c>
      <c r="B14" s="5">
        <v>11</v>
      </c>
      <c r="C14" s="5" t="s">
        <v>13</v>
      </c>
      <c r="D14" s="6">
        <v>31563</v>
      </c>
      <c r="F14" s="15">
        <f t="shared" si="1"/>
        <v>33190.014094374623</v>
      </c>
      <c r="K14" s="15">
        <f t="shared" si="0"/>
        <v>-640.62931137432452</v>
      </c>
      <c r="L14" s="15">
        <f t="shared" si="2"/>
        <v>31947.286641479106</v>
      </c>
    </row>
    <row r="15" spans="1:34" x14ac:dyDescent="0.3">
      <c r="A15" s="4">
        <v>40513</v>
      </c>
      <c r="B15" s="5">
        <v>12</v>
      </c>
      <c r="C15" s="5" t="s">
        <v>14</v>
      </c>
      <c r="D15" s="6">
        <v>33849</v>
      </c>
      <c r="F15" s="15">
        <f t="shared" si="1"/>
        <v>32815.379037891667</v>
      </c>
      <c r="K15" s="15">
        <f t="shared" si="0"/>
        <v>146.47979008064522</v>
      </c>
      <c r="L15" s="15">
        <f t="shared" si="2"/>
        <v>33116.466711060864</v>
      </c>
    </row>
    <row r="16" spans="1:34" x14ac:dyDescent="0.3">
      <c r="A16" s="4">
        <v>40544</v>
      </c>
      <c r="B16" s="5">
        <v>13</v>
      </c>
      <c r="C16" s="5" t="s">
        <v>3</v>
      </c>
      <c r="D16" s="6">
        <v>31763</v>
      </c>
      <c r="F16" s="15">
        <f t="shared" si="1"/>
        <v>33053.379832636019</v>
      </c>
      <c r="K16" s="15">
        <f t="shared" si="0"/>
        <v>-317.90353508011179</v>
      </c>
      <c r="L16" s="15">
        <f t="shared" si="2"/>
        <v>32195.184361583022</v>
      </c>
    </row>
    <row r="17" spans="1:30" x14ac:dyDescent="0.3">
      <c r="A17" s="4">
        <v>40575</v>
      </c>
      <c r="B17" s="5">
        <v>14</v>
      </c>
      <c r="C17" s="5" t="s">
        <v>4</v>
      </c>
      <c r="D17" s="6">
        <v>31977</v>
      </c>
      <c r="F17" s="15">
        <f t="shared" si="1"/>
        <v>32756.257931138371</v>
      </c>
      <c r="K17" s="15">
        <f t="shared" si="0"/>
        <v>-287.03048638429493</v>
      </c>
      <c r="L17" s="15">
        <f t="shared" si="2"/>
        <v>31948.26759700921</v>
      </c>
    </row>
    <row r="18" spans="1:30" x14ac:dyDescent="0.3">
      <c r="A18" s="4">
        <v>40603</v>
      </c>
      <c r="B18" s="5">
        <v>15</v>
      </c>
      <c r="C18" s="5" t="s">
        <v>5</v>
      </c>
      <c r="D18" s="6">
        <v>35968</v>
      </c>
      <c r="F18" s="15">
        <f t="shared" si="1"/>
        <v>32576.826578910885</v>
      </c>
      <c r="K18" s="15">
        <f t="shared" si="0"/>
        <v>1046.3429837527349</v>
      </c>
      <c r="L18" s="15">
        <f t="shared" si="2"/>
        <v>34727.078694861782</v>
      </c>
    </row>
    <row r="19" spans="1:30" x14ac:dyDescent="0.3">
      <c r="A19" s="4">
        <v>40634</v>
      </c>
      <c r="B19" s="5">
        <v>16</v>
      </c>
      <c r="C19" s="5" t="s">
        <v>6</v>
      </c>
      <c r="D19" s="6">
        <v>35427</v>
      </c>
      <c r="F19" s="15">
        <f t="shared" si="1"/>
        <v>33357.675651175101</v>
      </c>
      <c r="K19" s="15">
        <f t="shared" si="0"/>
        <v>939.09085782667478</v>
      </c>
      <c r="L19" s="15">
        <f t="shared" si="2"/>
        <v>35526.815581353461</v>
      </c>
    </row>
    <row r="20" spans="1:30" x14ac:dyDescent="0.3">
      <c r="A20" s="4">
        <v>40664</v>
      </c>
      <c r="B20" s="5">
        <v>17</v>
      </c>
      <c r="C20" s="5" t="s">
        <v>7</v>
      </c>
      <c r="D20" s="6">
        <v>36626</v>
      </c>
      <c r="F20" s="15">
        <f t="shared" si="1"/>
        <v>33834.156738206839</v>
      </c>
      <c r="K20" s="15">
        <f t="shared" si="0"/>
        <v>988.65581234590331</v>
      </c>
      <c r="L20" s="15">
        <f t="shared" si="2"/>
        <v>36579.871732542575</v>
      </c>
    </row>
    <row r="21" spans="1:30" ht="21" x14ac:dyDescent="0.4">
      <c r="A21" s="4">
        <v>40695</v>
      </c>
      <c r="B21" s="5">
        <v>18</v>
      </c>
      <c r="C21" s="5" t="s">
        <v>8</v>
      </c>
      <c r="D21" s="6">
        <v>35886</v>
      </c>
      <c r="F21" s="15">
        <f t="shared" si="1"/>
        <v>34477.004493299872</v>
      </c>
      <c r="K21" s="15">
        <f t="shared" si="0"/>
        <v>467.74540962470405</v>
      </c>
      <c r="L21" s="15">
        <f t="shared" si="2"/>
        <v>36370.792019102068</v>
      </c>
      <c r="AD21" s="14"/>
    </row>
    <row r="22" spans="1:30" x14ac:dyDescent="0.3">
      <c r="A22" s="4">
        <v>40725</v>
      </c>
      <c r="B22" s="5">
        <v>19</v>
      </c>
      <c r="C22" s="5" t="s">
        <v>9</v>
      </c>
      <c r="D22" s="6">
        <v>37246</v>
      </c>
      <c r="F22" s="15">
        <f t="shared" si="1"/>
        <v>34801.438751774898</v>
      </c>
      <c r="K22" s="15">
        <f t="shared" si="0"/>
        <v>593.89579137659302</v>
      </c>
      <c r="L22" s="15">
        <f t="shared" si="2"/>
        <v>37128.596511875134</v>
      </c>
    </row>
    <row r="23" spans="1:30" x14ac:dyDescent="0.3">
      <c r="A23" s="4">
        <v>40756</v>
      </c>
      <c r="B23" s="5">
        <v>20</v>
      </c>
      <c r="C23" s="5" t="s">
        <v>10</v>
      </c>
      <c r="D23" s="6">
        <v>36459</v>
      </c>
      <c r="F23" s="15">
        <f t="shared" si="1"/>
        <v>35364.321608457758</v>
      </c>
      <c r="K23" s="15">
        <f t="shared" si="0"/>
        <v>202.71866829085056</v>
      </c>
      <c r="L23" s="15">
        <f t="shared" si="2"/>
        <v>36823.054060615053</v>
      </c>
    </row>
    <row r="24" spans="1:30" x14ac:dyDescent="0.3">
      <c r="A24" s="4">
        <v>40787</v>
      </c>
      <c r="B24" s="5">
        <v>21</v>
      </c>
      <c r="C24" s="5" t="s">
        <v>11</v>
      </c>
      <c r="D24" s="6">
        <v>34635</v>
      </c>
      <c r="F24" s="15">
        <f t="shared" si="1"/>
        <v>35616.381441537284</v>
      </c>
      <c r="K24" s="15">
        <f t="shared" si="0"/>
        <v>-537.46439071028897</v>
      </c>
      <c r="L24" s="15">
        <f t="shared" si="2"/>
        <v>35323.860959204852</v>
      </c>
    </row>
    <row r="25" spans="1:30" x14ac:dyDescent="0.3">
      <c r="A25" s="4">
        <v>40817</v>
      </c>
      <c r="B25" s="5">
        <v>22</v>
      </c>
      <c r="C25" s="5" t="s">
        <v>12</v>
      </c>
      <c r="D25" s="6">
        <v>35636</v>
      </c>
      <c r="F25" s="15">
        <f t="shared" si="1"/>
        <v>35390.409279985135</v>
      </c>
      <c r="K25" s="15">
        <f t="shared" si="0"/>
        <v>-274.42723152479596</v>
      </c>
      <c r="L25" s="15">
        <f t="shared" si="2"/>
        <v>35391.201057928076</v>
      </c>
    </row>
    <row r="26" spans="1:30" x14ac:dyDescent="0.3">
      <c r="A26" s="4">
        <v>40848</v>
      </c>
      <c r="B26" s="5">
        <v>23</v>
      </c>
      <c r="C26" s="5" t="s">
        <v>13</v>
      </c>
      <c r="D26" s="6">
        <v>33583</v>
      </c>
      <c r="F26" s="15">
        <f t="shared" si="1"/>
        <v>35446.9588166994</v>
      </c>
      <c r="K26" s="15">
        <f t="shared" si="0"/>
        <v>-749.28349406992129</v>
      </c>
      <c r="L26" s="15">
        <f t="shared" si="2"/>
        <v>34024.931136525454</v>
      </c>
    </row>
    <row r="27" spans="1:30" x14ac:dyDescent="0.3">
      <c r="A27" s="4">
        <v>40878</v>
      </c>
      <c r="B27" s="5">
        <v>24</v>
      </c>
      <c r="C27" s="5" t="s">
        <v>14</v>
      </c>
      <c r="D27" s="6">
        <v>36789</v>
      </c>
      <c r="F27" s="15">
        <f t="shared" si="1"/>
        <v>35017.765044506239</v>
      </c>
      <c r="K27" s="15">
        <f t="shared" si="0"/>
        <v>338.45013444031326</v>
      </c>
      <c r="L27" s="15">
        <f t="shared" si="2"/>
        <v>35776.686597817992</v>
      </c>
    </row>
    <row r="28" spans="1:30" x14ac:dyDescent="0.3">
      <c r="A28" s="4">
        <v>40909</v>
      </c>
      <c r="B28" s="5">
        <v>25</v>
      </c>
      <c r="C28" s="5" t="s">
        <v>3</v>
      </c>
      <c r="D28" s="6">
        <v>34091</v>
      </c>
      <c r="F28" s="15">
        <f t="shared" si="1"/>
        <v>35425.60828931295</v>
      </c>
      <c r="K28" s="15">
        <f t="shared" si="0"/>
        <v>-288.2224472756277</v>
      </c>
      <c r="L28" s="15">
        <f t="shared" si="2"/>
        <v>34674.220962029009</v>
      </c>
    </row>
    <row r="29" spans="1:30" x14ac:dyDescent="0.3">
      <c r="A29" s="4">
        <v>40940</v>
      </c>
      <c r="B29" s="5">
        <v>26</v>
      </c>
      <c r="C29" s="5" t="s">
        <v>4</v>
      </c>
      <c r="D29" s="6">
        <v>35042</v>
      </c>
      <c r="F29" s="15">
        <f t="shared" si="1"/>
        <v>35118.30237624306</v>
      </c>
      <c r="K29" s="15">
        <f t="shared" si="0"/>
        <v>-85.124436248312406</v>
      </c>
      <c r="L29" s="15">
        <f t="shared" si="2"/>
        <v>34852.984203181208</v>
      </c>
    </row>
    <row r="30" spans="1:30" x14ac:dyDescent="0.3">
      <c r="A30" s="4">
        <v>40969</v>
      </c>
      <c r="B30" s="5">
        <v>27</v>
      </c>
      <c r="C30" s="5" t="s">
        <v>5</v>
      </c>
      <c r="D30" s="6">
        <v>39045</v>
      </c>
      <c r="F30" s="15">
        <f t="shared" si="1"/>
        <v>35100.733047782764</v>
      </c>
      <c r="K30" s="15">
        <f t="shared" si="0"/>
        <v>1239.0778616996279</v>
      </c>
      <c r="L30" s="15">
        <f t="shared" si="2"/>
        <v>37812.613965149838</v>
      </c>
    </row>
    <row r="31" spans="1:30" x14ac:dyDescent="0.3">
      <c r="A31" s="4">
        <v>41000</v>
      </c>
      <c r="B31" s="5">
        <v>28</v>
      </c>
      <c r="C31" s="5" t="s">
        <v>6</v>
      </c>
      <c r="D31" s="6">
        <v>37143</v>
      </c>
      <c r="F31" s="15">
        <f t="shared" si="1"/>
        <v>36008.937025570514</v>
      </c>
      <c r="K31" s="15">
        <f t="shared" si="0"/>
        <v>648.14701410942428</v>
      </c>
      <c r="L31" s="15">
        <f t="shared" si="2"/>
        <v>37692.957453827781</v>
      </c>
    </row>
    <row r="32" spans="1:30" x14ac:dyDescent="0.3">
      <c r="A32" s="4">
        <v>41030</v>
      </c>
      <c r="B32" s="5">
        <v>29</v>
      </c>
      <c r="C32" s="5" t="s">
        <v>7</v>
      </c>
      <c r="D32" s="6">
        <v>38591</v>
      </c>
      <c r="F32" s="15">
        <f t="shared" si="1"/>
        <v>36270.065523442521</v>
      </c>
      <c r="K32" s="15">
        <f t="shared" si="0"/>
        <v>725.51465224439778</v>
      </c>
      <c r="L32" s="15">
        <f t="shared" si="2"/>
        <v>38518.996804616152</v>
      </c>
    </row>
    <row r="33" spans="1:30" x14ac:dyDescent="0.3">
      <c r="A33" s="4">
        <v>41061</v>
      </c>
      <c r="B33" s="5">
        <v>30</v>
      </c>
      <c r="C33" s="5" t="s">
        <v>8</v>
      </c>
      <c r="D33" s="6">
        <v>38401</v>
      </c>
      <c r="F33" s="15">
        <f t="shared" si="1"/>
        <v>36804.482171537122</v>
      </c>
      <c r="K33" s="15">
        <f t="shared" si="0"/>
        <v>464.36356795573204</v>
      </c>
      <c r="L33" s="15">
        <f t="shared" si="2"/>
        <v>38644.043642019104</v>
      </c>
    </row>
    <row r="34" spans="1:30" x14ac:dyDescent="0.3">
      <c r="A34" s="4">
        <v>41091</v>
      </c>
      <c r="B34" s="5">
        <v>31</v>
      </c>
      <c r="C34" s="5" t="s">
        <v>9</v>
      </c>
      <c r="D34" s="6">
        <v>38488</v>
      </c>
      <c r="F34" s="15">
        <f t="shared" si="1"/>
        <v>37172.095180490272</v>
      </c>
      <c r="K34" s="15">
        <f t="shared" si="0"/>
        <v>272.2855419044281</v>
      </c>
      <c r="L34" s="15">
        <f t="shared" si="2"/>
        <v>38666.759904943559</v>
      </c>
    </row>
    <row r="35" spans="1:30" x14ac:dyDescent="0.3">
      <c r="A35" s="4">
        <v>41122</v>
      </c>
      <c r="B35" s="5">
        <v>32</v>
      </c>
      <c r="C35" s="5" t="s">
        <v>10</v>
      </c>
      <c r="D35" s="6">
        <v>38611</v>
      </c>
      <c r="F35" s="15">
        <f t="shared" si="1"/>
        <v>37475.094446500145</v>
      </c>
      <c r="K35" s="15">
        <f t="shared" si="0"/>
        <v>170.72269596613762</v>
      </c>
      <c r="L35" s="15">
        <f t="shared" si="2"/>
        <v>38705.520779180006</v>
      </c>
    </row>
    <row r="36" spans="1:30" x14ac:dyDescent="0.3">
      <c r="A36" s="4">
        <v>41153</v>
      </c>
      <c r="B36" s="5">
        <v>33</v>
      </c>
      <c r="C36" s="5" t="s">
        <v>11</v>
      </c>
      <c r="D36" s="6">
        <v>36080</v>
      </c>
      <c r="F36" s="15">
        <f t="shared" si="1"/>
        <v>37736.647215259836</v>
      </c>
      <c r="K36" s="15">
        <f t="shared" si="0"/>
        <v>-694.99407590486817</v>
      </c>
      <c r="L36" s="15">
        <f t="shared" si="2"/>
        <v>36885.690536440481</v>
      </c>
    </row>
    <row r="37" spans="1:30" x14ac:dyDescent="0.3">
      <c r="A37" s="4">
        <v>41183</v>
      </c>
      <c r="B37" s="5">
        <v>34</v>
      </c>
      <c r="C37" s="5" t="s">
        <v>12</v>
      </c>
      <c r="D37" s="6">
        <v>36782</v>
      </c>
      <c r="F37" s="15">
        <f t="shared" si="1"/>
        <v>37355.188858379559</v>
      </c>
      <c r="K37" s="15">
        <f t="shared" si="0"/>
        <v>-511.9265440783492</v>
      </c>
      <c r="L37" s="15">
        <f t="shared" si="2"/>
        <v>36611.625828314071</v>
      </c>
    </row>
    <row r="38" spans="1:30" x14ac:dyDescent="0.3">
      <c r="A38" s="4">
        <v>41214</v>
      </c>
      <c r="B38" s="5">
        <v>35</v>
      </c>
      <c r="C38" s="5" t="s">
        <v>13</v>
      </c>
      <c r="D38" s="6">
        <v>36087</v>
      </c>
      <c r="F38" s="15">
        <f t="shared" si="1"/>
        <v>37223.206817734135</v>
      </c>
      <c r="K38" s="15">
        <f t="shared" si="0"/>
        <v>-515.85824153292799</v>
      </c>
      <c r="L38" s="15">
        <f t="shared" si="2"/>
        <v>36090.659085204577</v>
      </c>
    </row>
    <row r="39" spans="1:30" x14ac:dyDescent="0.3">
      <c r="A39" s="4">
        <v>41244</v>
      </c>
      <c r="B39" s="5">
        <v>36</v>
      </c>
      <c r="C39" s="5" t="s">
        <v>14</v>
      </c>
      <c r="D39" s="6">
        <v>38982</v>
      </c>
      <c r="F39" s="15">
        <f t="shared" si="1"/>
        <v>36961.584680095708</v>
      </c>
      <c r="K39" s="15">
        <f t="shared" si="0"/>
        <v>539.01036377835521</v>
      </c>
      <c r="L39" s="15">
        <f t="shared" si="2"/>
        <v>38000.272857703036</v>
      </c>
    </row>
    <row r="40" spans="1:30" x14ac:dyDescent="0.3">
      <c r="A40" s="4">
        <v>41275</v>
      </c>
      <c r="B40" s="5">
        <v>37</v>
      </c>
      <c r="C40" s="5" t="s">
        <v>3</v>
      </c>
      <c r="D40" s="6">
        <v>36033</v>
      </c>
      <c r="F40" s="15">
        <f t="shared" si="1"/>
        <v>37426.804010468084</v>
      </c>
      <c r="K40" s="15">
        <f t="shared" si="0"/>
        <v>-236.93473513043512</v>
      </c>
      <c r="L40" s="15">
        <f t="shared" si="2"/>
        <v>36755.143365245254</v>
      </c>
    </row>
    <row r="41" spans="1:30" x14ac:dyDescent="0.3">
      <c r="A41" s="4">
        <v>41306</v>
      </c>
      <c r="B41" s="5">
        <v>38</v>
      </c>
      <c r="C41" s="5" t="s">
        <v>4</v>
      </c>
      <c r="D41" s="6">
        <v>35608</v>
      </c>
      <c r="F41" s="15">
        <f t="shared" si="1"/>
        <v>37105.867734628024</v>
      </c>
      <c r="K41" s="15">
        <f t="shared" si="0"/>
        <v>-518.73525929650339</v>
      </c>
      <c r="L41" s="15">
        <f t="shared" si="2"/>
        <v>35870.261310929527</v>
      </c>
    </row>
    <row r="42" spans="1:30" x14ac:dyDescent="0.3">
      <c r="A42" s="4">
        <v>41334</v>
      </c>
      <c r="B42" s="5">
        <v>39</v>
      </c>
      <c r="C42" s="5" t="s">
        <v>5</v>
      </c>
      <c r="D42" s="6">
        <v>40955</v>
      </c>
      <c r="F42" s="15">
        <f t="shared" si="1"/>
        <v>36760.969822983287</v>
      </c>
      <c r="K42" s="15">
        <f t="shared" si="0"/>
        <v>1216.0998582320224</v>
      </c>
      <c r="L42" s="15">
        <f t="shared" si="2"/>
        <v>39340.453208378392</v>
      </c>
    </row>
    <row r="43" spans="1:30" x14ac:dyDescent="0.3">
      <c r="A43" s="4">
        <v>41365</v>
      </c>
      <c r="B43" s="5">
        <v>40</v>
      </c>
      <c r="C43" s="5" t="s">
        <v>6</v>
      </c>
      <c r="D43" s="6">
        <v>38810</v>
      </c>
      <c r="F43" s="15">
        <f t="shared" si="1"/>
        <v>37726.684095336794</v>
      </c>
      <c r="K43" s="15">
        <f t="shared" si="0"/>
        <v>675.3671587490702</v>
      </c>
      <c r="L43" s="15">
        <f t="shared" si="2"/>
        <v>39313.239896549276</v>
      </c>
    </row>
    <row r="44" spans="1:30" x14ac:dyDescent="0.3">
      <c r="A44" s="4">
        <v>41395</v>
      </c>
      <c r="B44" s="5">
        <v>41</v>
      </c>
      <c r="C44" s="5" t="s">
        <v>7</v>
      </c>
      <c r="D44" s="6">
        <v>40685</v>
      </c>
      <c r="F44" s="15">
        <f t="shared" si="1"/>
        <v>37976.127610629992</v>
      </c>
      <c r="K44" s="15">
        <f t="shared" si="0"/>
        <v>890.97036261863059</v>
      </c>
      <c r="L44" s="15">
        <f t="shared" si="2"/>
        <v>40484.346083351804</v>
      </c>
    </row>
    <row r="45" spans="1:30" ht="18.45" customHeight="1" x14ac:dyDescent="6.95">
      <c r="A45" s="4">
        <v>41426</v>
      </c>
      <c r="B45" s="5">
        <v>42</v>
      </c>
      <c r="C45" s="5" t="s">
        <v>8</v>
      </c>
      <c r="D45" s="6">
        <v>39421</v>
      </c>
      <c r="F45" s="15">
        <f t="shared" si="1"/>
        <v>38599.870554287059</v>
      </c>
      <c r="K45" s="15">
        <f t="shared" si="0"/>
        <v>285.91413634294474</v>
      </c>
      <c r="L45" s="15">
        <f t="shared" si="2"/>
        <v>39984.103420615436</v>
      </c>
      <c r="AC45" s="20"/>
      <c r="AD45" s="21"/>
    </row>
    <row r="46" spans="1:30" x14ac:dyDescent="0.3">
      <c r="A46" s="4">
        <v>41456</v>
      </c>
      <c r="B46" s="5">
        <v>43</v>
      </c>
      <c r="C46" s="5" t="s">
        <v>9</v>
      </c>
      <c r="D46" s="6">
        <v>39610</v>
      </c>
      <c r="F46" s="15">
        <f t="shared" si="1"/>
        <v>38788.943210349535</v>
      </c>
      <c r="K46" s="15">
        <f t="shared" si="0"/>
        <v>81.572749812455768</v>
      </c>
      <c r="L46" s="15">
        <f t="shared" si="2"/>
        <v>39800.172960349293</v>
      </c>
    </row>
    <row r="47" spans="1:30" x14ac:dyDescent="0.3">
      <c r="A47" s="4">
        <v>41487</v>
      </c>
      <c r="B47" s="5">
        <v>44</v>
      </c>
      <c r="C47" s="5" t="s">
        <v>10</v>
      </c>
      <c r="D47" s="6">
        <v>34314</v>
      </c>
      <c r="F47" s="15">
        <f t="shared" si="1"/>
        <v>38977.99913668105</v>
      </c>
      <c r="K47" s="15">
        <f t="shared" si="0"/>
        <v>-1642.2009078258329</v>
      </c>
      <c r="L47" s="15">
        <f t="shared" si="2"/>
        <v>35918.252300579785</v>
      </c>
    </row>
    <row r="48" spans="1:30" x14ac:dyDescent="0.3">
      <c r="A48" s="4">
        <v>41518</v>
      </c>
      <c r="B48" s="5">
        <v>45</v>
      </c>
      <c r="C48" s="5" t="s">
        <v>11</v>
      </c>
      <c r="D48" s="6">
        <v>36907</v>
      </c>
      <c r="F48" s="15">
        <f t="shared" si="1"/>
        <v>37904.070160866875</v>
      </c>
      <c r="K48" s="15">
        <f t="shared" si="0"/>
        <v>-827.65941475912928</v>
      </c>
      <c r="L48" s="15">
        <f t="shared" si="2"/>
        <v>36148.93640018825</v>
      </c>
    </row>
    <row r="49" spans="1:12" x14ac:dyDescent="0.3">
      <c r="A49" s="4">
        <v>41548</v>
      </c>
      <c r="B49" s="5">
        <v>46</v>
      </c>
      <c r="C49" s="5" t="s">
        <v>12</v>
      </c>
      <c r="D49" s="6">
        <v>38790</v>
      </c>
      <c r="F49" s="15">
        <f t="shared" si="1"/>
        <v>37674.485526458768</v>
      </c>
      <c r="K49" s="15">
        <f t="shared" si="0"/>
        <v>246.25697248680547</v>
      </c>
      <c r="L49" s="15">
        <f t="shared" si="2"/>
        <v>37790.54579252009</v>
      </c>
    </row>
    <row r="50" spans="1:12" x14ac:dyDescent="0.3">
      <c r="A50" s="4">
        <v>41579</v>
      </c>
      <c r="B50" s="5">
        <v>47</v>
      </c>
      <c r="C50" s="5" t="s">
        <v>13</v>
      </c>
      <c r="D50" s="6">
        <v>38475</v>
      </c>
      <c r="F50" s="15">
        <f t="shared" si="1"/>
        <v>37931.343060297964</v>
      </c>
      <c r="K50" s="15">
        <f t="shared" si="0"/>
        <v>381.92280383977828</v>
      </c>
      <c r="L50" s="15">
        <f t="shared" si="2"/>
        <v>38348.740835350582</v>
      </c>
    </row>
    <row r="51" spans="1:12" x14ac:dyDescent="0.3">
      <c r="A51" s="4">
        <v>41609</v>
      </c>
      <c r="B51" s="5">
        <v>48</v>
      </c>
      <c r="C51" s="5" t="s">
        <v>14</v>
      </c>
      <c r="D51" s="6">
        <v>40147</v>
      </c>
      <c r="F51" s="15">
        <f t="shared" si="1"/>
        <v>38056.525103291213</v>
      </c>
      <c r="K51" s="15">
        <f t="shared" si="0"/>
        <v>820.42043577419599</v>
      </c>
      <c r="L51" s="15">
        <f t="shared" si="2"/>
        <v>39738.90649438664</v>
      </c>
    </row>
    <row r="52" spans="1:12" x14ac:dyDescent="0.3">
      <c r="A52" s="4">
        <v>41640</v>
      </c>
      <c r="B52" s="5">
        <v>49</v>
      </c>
      <c r="C52" s="5" t="s">
        <v>3</v>
      </c>
      <c r="D52" s="6">
        <v>37121</v>
      </c>
      <c r="F52" s="15">
        <f t="shared" si="1"/>
        <v>38537.876299763622</v>
      </c>
      <c r="K52" s="15">
        <f t="shared" si="0"/>
        <v>-244.08532599979003</v>
      </c>
      <c r="L52" s="15">
        <f t="shared" si="2"/>
        <v>38111.696086890021</v>
      </c>
    </row>
    <row r="53" spans="1:12" x14ac:dyDescent="0.3">
      <c r="A53" s="4">
        <v>41671</v>
      </c>
      <c r="B53" s="5">
        <v>50</v>
      </c>
      <c r="C53" s="5" t="s">
        <v>4</v>
      </c>
      <c r="D53" s="6">
        <v>36887</v>
      </c>
      <c r="F53" s="15">
        <f t="shared" si="1"/>
        <v>38211.62741573331</v>
      </c>
      <c r="K53" s="15">
        <f t="shared" si="0"/>
        <v>-547.68234461616555</v>
      </c>
      <c r="L53" s="15">
        <f t="shared" si="2"/>
        <v>37169.54650104804</v>
      </c>
    </row>
    <row r="54" spans="1:12" x14ac:dyDescent="0.3">
      <c r="A54" s="4">
        <v>41699</v>
      </c>
      <c r="B54" s="5">
        <v>51</v>
      </c>
      <c r="C54" s="5" t="s">
        <v>5</v>
      </c>
      <c r="D54" s="6">
        <v>42689</v>
      </c>
      <c r="F54" s="15">
        <f t="shared" si="1"/>
        <v>37906.619691197979</v>
      </c>
      <c r="K54" s="15">
        <f t="shared" si="0"/>
        <v>1330.7024611712311</v>
      </c>
      <c r="L54" s="15">
        <f t="shared" si="2"/>
        <v>40940.856830097313</v>
      </c>
    </row>
    <row r="55" spans="1:12" x14ac:dyDescent="0.3">
      <c r="A55" s="4">
        <v>41730</v>
      </c>
      <c r="B55" s="5">
        <v>52</v>
      </c>
      <c r="C55" s="5" t="s">
        <v>6</v>
      </c>
      <c r="D55" s="6">
        <v>40953</v>
      </c>
      <c r="F55" s="15">
        <f t="shared" si="1"/>
        <v>39007.807027746341</v>
      </c>
      <c r="K55" s="15">
        <f t="shared" si="0"/>
        <v>922.47660269234439</v>
      </c>
      <c r="L55" s="15">
        <f t="shared" si="2"/>
        <v>41332.920687219565</v>
      </c>
    </row>
    <row r="56" spans="1:12" x14ac:dyDescent="0.3">
      <c r="A56" s="4">
        <v>41760</v>
      </c>
      <c r="B56" s="5">
        <v>53</v>
      </c>
      <c r="C56" s="5" t="s">
        <v>7</v>
      </c>
      <c r="D56" s="6">
        <v>43854</v>
      </c>
      <c r="F56" s="15">
        <f t="shared" si="1"/>
        <v>39455.705716239638</v>
      </c>
      <c r="K56" s="15">
        <f t="shared" si="0"/>
        <v>1417.4038828031635</v>
      </c>
      <c r="L56" s="15">
        <f t="shared" si="2"/>
        <v>43393.389510786874</v>
      </c>
    </row>
    <row r="57" spans="1:12" x14ac:dyDescent="0.3">
      <c r="A57" s="4">
        <v>41791</v>
      </c>
      <c r="B57" s="5">
        <v>54</v>
      </c>
      <c r="C57" s="5" t="s">
        <v>8</v>
      </c>
      <c r="D57" s="6">
        <v>41589</v>
      </c>
      <c r="F57" s="15">
        <f t="shared" si="1"/>
        <v>40468.453690041664</v>
      </c>
      <c r="K57" s="15">
        <f t="shared" si="0"/>
        <v>419.93688784188856</v>
      </c>
      <c r="L57" s="15">
        <f t="shared" si="2"/>
        <v>42517.30558950032</v>
      </c>
    </row>
    <row r="58" spans="1:12" x14ac:dyDescent="0.3">
      <c r="A58" s="4">
        <v>41821</v>
      </c>
      <c r="B58" s="5">
        <v>55</v>
      </c>
      <c r="C58" s="5" t="s">
        <v>9</v>
      </c>
      <c r="D58" s="6">
        <v>42450</v>
      </c>
      <c r="F58" s="15">
        <f t="shared" si="1"/>
        <v>40726.469850795562</v>
      </c>
      <c r="K58" s="15">
        <f t="shared" si="0"/>
        <v>269.0866531064878</v>
      </c>
      <c r="L58" s="15">
        <f t="shared" si="2"/>
        <v>42590.390726499922</v>
      </c>
    </row>
    <row r="59" spans="1:12" x14ac:dyDescent="0.3">
      <c r="A59" s="4">
        <v>41852</v>
      </c>
      <c r="B59" s="5">
        <v>56</v>
      </c>
      <c r="C59" s="5" t="s">
        <v>10</v>
      </c>
      <c r="D59" s="6">
        <v>43528</v>
      </c>
      <c r="F59" s="15">
        <f t="shared" si="1"/>
        <v>41123.32862235124</v>
      </c>
      <c r="K59" s="15">
        <f t="shared" si="0"/>
        <v>476.06120664376039</v>
      </c>
      <c r="L59" s="15">
        <f t="shared" si="2"/>
        <v>43335.376448640847</v>
      </c>
    </row>
    <row r="60" spans="1:12" x14ac:dyDescent="0.3">
      <c r="A60" s="4">
        <v>41883</v>
      </c>
      <c r="B60" s="5">
        <v>57</v>
      </c>
      <c r="C60" s="5" t="s">
        <v>11</v>
      </c>
      <c r="D60" s="6">
        <v>39935</v>
      </c>
      <c r="F60" s="15">
        <f t="shared" si="1"/>
        <v>41677.026467073767</v>
      </c>
      <c r="K60" s="15">
        <f t="shared" si="0"/>
        <v>-724.08360303409063</v>
      </c>
      <c r="L60" s="15">
        <f t="shared" si="2"/>
        <v>41051.930325175315</v>
      </c>
    </row>
    <row r="61" spans="1:12" x14ac:dyDescent="0.3">
      <c r="A61" s="4">
        <v>41913</v>
      </c>
      <c r="B61" s="5">
        <v>58</v>
      </c>
      <c r="C61" s="5" t="s">
        <v>12</v>
      </c>
      <c r="D61" s="6">
        <v>42574</v>
      </c>
      <c r="F61" s="15">
        <f t="shared" si="1"/>
        <v>41275.908747108449</v>
      </c>
      <c r="K61" s="15">
        <f t="shared" si="0"/>
        <v>-28.674715317779203</v>
      </c>
      <c r="L61" s="15">
        <f t="shared" si="2"/>
        <v>41926.808703730276</v>
      </c>
    </row>
    <row r="62" spans="1:12" x14ac:dyDescent="0.3">
      <c r="A62" s="4">
        <v>41944</v>
      </c>
      <c r="B62" s="5">
        <v>59</v>
      </c>
      <c r="C62" s="5" t="s">
        <v>13</v>
      </c>
      <c r="D62" s="6">
        <v>40864</v>
      </c>
      <c r="F62" s="15">
        <f t="shared" si="1"/>
        <v>41574.806274504481</v>
      </c>
      <c r="K62" s="15">
        <f t="shared" si="0"/>
        <v>-348.84252119303875</v>
      </c>
      <c r="L62" s="15">
        <f t="shared" si="2"/>
        <v>41161.968319025531</v>
      </c>
    </row>
    <row r="63" spans="1:12" x14ac:dyDescent="0.3">
      <c r="A63" s="4">
        <v>41974</v>
      </c>
      <c r="B63" s="5">
        <v>60</v>
      </c>
      <c r="C63" s="5" t="s">
        <v>14</v>
      </c>
      <c r="D63" s="6">
        <v>44196</v>
      </c>
      <c r="F63" s="15">
        <f t="shared" si="1"/>
        <v>41411.136549873248</v>
      </c>
      <c r="K63" s="15">
        <f t="shared" si="0"/>
        <v>698.49508011977298</v>
      </c>
      <c r="L63" s="15">
        <f t="shared" si="2"/>
        <v>43221.281684202215</v>
      </c>
    </row>
    <row r="64" spans="1:12" x14ac:dyDescent="0.3">
      <c r="A64" s="4">
        <v>42005</v>
      </c>
      <c r="B64" s="5">
        <v>61</v>
      </c>
      <c r="C64" s="5" t="s">
        <v>3</v>
      </c>
      <c r="D64" s="6">
        <v>41784</v>
      </c>
      <c r="F64" s="15">
        <f t="shared" si="1"/>
        <v>42052.377138718046</v>
      </c>
      <c r="K64" s="15">
        <f t="shared" si="0"/>
        <v>37.25875278268586</v>
      </c>
      <c r="L64" s="15">
        <f t="shared" si="2"/>
        <v>42399.388159957627</v>
      </c>
    </row>
    <row r="65" spans="1:12" x14ac:dyDescent="0.3">
      <c r="A65" s="4">
        <v>42036</v>
      </c>
      <c r="B65" s="5">
        <v>62</v>
      </c>
      <c r="C65" s="5" t="s">
        <v>4</v>
      </c>
      <c r="D65" s="6">
        <v>40337</v>
      </c>
      <c r="F65" s="15">
        <f t="shared" si="1"/>
        <v>41990.580818163726</v>
      </c>
      <c r="K65" s="15">
        <f t="shared" si="0"/>
        <v>-612.79177519269524</v>
      </c>
      <c r="L65" s="15">
        <f t="shared" si="2"/>
        <v>40941.97795077481</v>
      </c>
    </row>
    <row r="66" spans="1:12" x14ac:dyDescent="0.3">
      <c r="A66" s="4">
        <v>42064</v>
      </c>
      <c r="B66" s="5">
        <v>63</v>
      </c>
      <c r="C66" s="5" t="s">
        <v>5</v>
      </c>
      <c r="D66" s="6">
        <v>46307</v>
      </c>
      <c r="F66" s="15">
        <f t="shared" si="1"/>
        <v>41609.828527600432</v>
      </c>
      <c r="K66" s="15">
        <f t="shared" si="0"/>
        <v>1237.9389401111462</v>
      </c>
      <c r="L66" s="15">
        <f t="shared" si="2"/>
        <v>44584.59346789898</v>
      </c>
    </row>
    <row r="67" spans="1:12" x14ac:dyDescent="0.3">
      <c r="A67" s="4">
        <v>42095</v>
      </c>
      <c r="B67" s="5">
        <v>64</v>
      </c>
      <c r="C67" s="5" t="s">
        <v>6</v>
      </c>
      <c r="D67" s="6">
        <v>45094</v>
      </c>
      <c r="F67" s="15">
        <f t="shared" si="1"/>
        <v>42691.395740789783</v>
      </c>
      <c r="K67" s="15">
        <f t="shared" si="0"/>
        <v>1012.3853607923868</v>
      </c>
      <c r="L67" s="15">
        <f t="shared" si="2"/>
        <v>45303.914362551448</v>
      </c>
    </row>
    <row r="68" spans="1:12" x14ac:dyDescent="0.3">
      <c r="A68" s="4">
        <v>42125</v>
      </c>
      <c r="B68" s="5">
        <v>65</v>
      </c>
      <c r="C68" s="5" t="s">
        <v>7</v>
      </c>
      <c r="D68" s="6">
        <v>48077</v>
      </c>
      <c r="F68" s="15">
        <f t="shared" si="1"/>
        <v>43244.617612356538</v>
      </c>
      <c r="K68" s="15">
        <f t="shared" si="0"/>
        <v>1557.4980354529869</v>
      </c>
      <c r="L68" s="15">
        <f t="shared" si="2"/>
        <v>47569.683822771956</v>
      </c>
    </row>
    <row r="69" spans="1:12" x14ac:dyDescent="0.3">
      <c r="A69" s="4">
        <v>42156</v>
      </c>
      <c r="B69" s="5">
        <v>66</v>
      </c>
      <c r="C69" s="5" t="s">
        <v>8</v>
      </c>
      <c r="D69" s="6">
        <v>45461</v>
      </c>
      <c r="F69" s="15">
        <f t="shared" si="1"/>
        <v>44357.318390426881</v>
      </c>
      <c r="K69" s="15">
        <f t="shared" si="0"/>
        <v>422.44840490224715</v>
      </c>
      <c r="L69" s="15">
        <f t="shared" si="2"/>
        <v>46517.348652860863</v>
      </c>
    </row>
    <row r="70" spans="1:12" x14ac:dyDescent="0.3">
      <c r="A70" s="4">
        <v>42186</v>
      </c>
      <c r="B70" s="5">
        <v>67</v>
      </c>
      <c r="C70" s="5" t="s">
        <v>9</v>
      </c>
      <c r="D70" s="6">
        <v>46408</v>
      </c>
      <c r="F70" s="15">
        <f t="shared" si="1"/>
        <v>44611.451297800719</v>
      </c>
      <c r="K70" s="15">
        <f t="shared" ref="K70:K111" si="3">$J$6*(L70-L69)+(1-$J$6)*K69</f>
        <v>257.8040753832941</v>
      </c>
      <c r="L70" s="15">
        <f t="shared" ref="L70:L111" si="4">$J$4*D70+(1-$J$4)*(L69+K69)</f>
        <v>46561.228379629647</v>
      </c>
    </row>
    <row r="71" spans="1:12" x14ac:dyDescent="0.3">
      <c r="A71" s="4">
        <v>42217</v>
      </c>
      <c r="B71" s="5">
        <v>68</v>
      </c>
      <c r="C71" s="5" t="s">
        <v>10</v>
      </c>
      <c r="D71" s="6">
        <v>46225</v>
      </c>
      <c r="F71" s="15">
        <f t="shared" ref="F71:F111" si="5">$E$4*D70+(1-$E$4)*F70</f>
        <v>45025.123267115472</v>
      </c>
      <c r="K71" s="15">
        <f t="shared" si="3"/>
        <v>73.891671505971047</v>
      </c>
      <c r="L71" s="15">
        <f t="shared" si="4"/>
        <v>46396.160462812499</v>
      </c>
    </row>
    <row r="72" spans="1:12" x14ac:dyDescent="0.3">
      <c r="A72" s="4">
        <v>42248</v>
      </c>
      <c r="B72" s="5">
        <v>69</v>
      </c>
      <c r="C72" s="5" t="s">
        <v>11</v>
      </c>
      <c r="D72" s="6">
        <v>43024</v>
      </c>
      <c r="F72" s="15">
        <f t="shared" si="5"/>
        <v>45301.405992109052</v>
      </c>
      <c r="K72" s="15">
        <f t="shared" si="3"/>
        <v>-993.00581290047944</v>
      </c>
      <c r="L72" s="15">
        <f t="shared" si="4"/>
        <v>44016.921974562967</v>
      </c>
    </row>
    <row r="73" spans="1:12" x14ac:dyDescent="0.3">
      <c r="A73" s="4">
        <v>42278</v>
      </c>
      <c r="B73" s="5">
        <v>70</v>
      </c>
      <c r="C73" s="5" t="s">
        <v>12</v>
      </c>
      <c r="D73" s="6">
        <v>45883</v>
      </c>
      <c r="F73" s="15">
        <f t="shared" si="5"/>
        <v>44777.01218050145</v>
      </c>
      <c r="K73" s="15">
        <f t="shared" si="3"/>
        <v>-107.83366926060745</v>
      </c>
      <c r="L73" s="15">
        <f t="shared" si="4"/>
        <v>45059.203069613577</v>
      </c>
    </row>
    <row r="74" spans="1:12" x14ac:dyDescent="0.3">
      <c r="A74" s="4">
        <v>42309</v>
      </c>
      <c r="B74" s="5">
        <v>71</v>
      </c>
      <c r="C74" s="5" t="s">
        <v>13</v>
      </c>
      <c r="D74" s="6">
        <v>43128</v>
      </c>
      <c r="F74" s="15">
        <f t="shared" si="5"/>
        <v>45031.676114059177</v>
      </c>
      <c r="K74" s="15">
        <f t="shared" si="3"/>
        <v>-672.34869995529334</v>
      </c>
      <c r="L74" s="15">
        <f t="shared" si="4"/>
        <v>43653.373231393154</v>
      </c>
    </row>
    <row r="75" spans="1:12" x14ac:dyDescent="0.3">
      <c r="A75" s="4">
        <v>42339</v>
      </c>
      <c r="B75" s="5">
        <v>72</v>
      </c>
      <c r="C75" s="5" t="s">
        <v>14</v>
      </c>
      <c r="D75" s="6">
        <v>47365</v>
      </c>
      <c r="F75" s="15">
        <f t="shared" si="5"/>
        <v>44593.337066486303</v>
      </c>
      <c r="K75" s="15">
        <f t="shared" si="3"/>
        <v>684.92977895360468</v>
      </c>
      <c r="L75" s="15">
        <f t="shared" si="4"/>
        <v>46101.831188556229</v>
      </c>
    </row>
    <row r="76" spans="1:12" x14ac:dyDescent="0.3">
      <c r="A76" s="4">
        <v>42370</v>
      </c>
      <c r="B76" s="5">
        <v>73</v>
      </c>
      <c r="C76" s="5" t="s">
        <v>3</v>
      </c>
      <c r="D76" s="6">
        <v>43571</v>
      </c>
      <c r="F76" s="15">
        <f t="shared" si="5"/>
        <v>45231.538114183895</v>
      </c>
      <c r="K76" s="15">
        <f t="shared" si="3"/>
        <v>-310.66957734203902</v>
      </c>
      <c r="L76" s="15">
        <f t="shared" si="4"/>
        <v>44497.567447365058</v>
      </c>
    </row>
    <row r="77" spans="1:12" x14ac:dyDescent="0.3">
      <c r="A77" s="4">
        <v>42401</v>
      </c>
      <c r="B77" s="5">
        <v>74</v>
      </c>
      <c r="C77" s="5" t="s">
        <v>4</v>
      </c>
      <c r="D77" s="6">
        <v>44624</v>
      </c>
      <c r="F77" s="15">
        <f t="shared" si="5"/>
        <v>44849.183841808335</v>
      </c>
      <c r="K77" s="15">
        <f t="shared" si="3"/>
        <v>-175.34279042058355</v>
      </c>
      <c r="L77" s="15">
        <f t="shared" si="4"/>
        <v>44498.056371445971</v>
      </c>
    </row>
    <row r="78" spans="1:12" x14ac:dyDescent="0.3">
      <c r="A78" s="4">
        <v>42430</v>
      </c>
      <c r="B78" s="5">
        <v>75</v>
      </c>
      <c r="C78" s="5" t="s">
        <v>5</v>
      </c>
      <c r="D78" s="6">
        <v>48553</v>
      </c>
      <c r="F78" s="15">
        <f t="shared" si="5"/>
        <v>44797.333177707398</v>
      </c>
      <c r="K78" s="15">
        <f t="shared" si="3"/>
        <v>1134.3535701701394</v>
      </c>
      <c r="L78" s="15">
        <f t="shared" si="4"/>
        <v>47334.114103798704</v>
      </c>
    </row>
    <row r="79" spans="1:12" x14ac:dyDescent="0.3">
      <c r="A79" s="4">
        <v>42461</v>
      </c>
      <c r="B79" s="5">
        <v>76</v>
      </c>
      <c r="C79" s="5" t="s">
        <v>6</v>
      </c>
      <c r="D79" s="6">
        <v>48373</v>
      </c>
      <c r="F79" s="15">
        <f t="shared" si="5"/>
        <v>45662.110229710488</v>
      </c>
      <c r="K79" s="15">
        <f t="shared" si="3"/>
        <v>1104.796785411967</v>
      </c>
      <c r="L79" s="15">
        <f t="shared" si="4"/>
        <v>48400.50740489387</v>
      </c>
    </row>
    <row r="80" spans="1:12" x14ac:dyDescent="0.3">
      <c r="A80" s="4">
        <v>42491</v>
      </c>
      <c r="B80" s="5">
        <v>77</v>
      </c>
      <c r="C80" s="5" t="s">
        <v>7</v>
      </c>
      <c r="D80" s="6">
        <v>49117</v>
      </c>
      <c r="F80" s="15">
        <f t="shared" si="5"/>
        <v>46286.317693999146</v>
      </c>
      <c r="K80" s="15">
        <f t="shared" si="3"/>
        <v>984.57783698224125</v>
      </c>
      <c r="L80" s="15">
        <f t="shared" si="4"/>
        <v>49228.883322811598</v>
      </c>
    </row>
    <row r="81" spans="1:12" x14ac:dyDescent="0.3">
      <c r="A81" s="4">
        <v>42522</v>
      </c>
      <c r="B81" s="5">
        <v>78</v>
      </c>
      <c r="C81" s="5" t="s">
        <v>8</v>
      </c>
      <c r="D81" s="6">
        <v>47334</v>
      </c>
      <c r="F81" s="15">
        <f t="shared" si="5"/>
        <v>46938.108498553644</v>
      </c>
      <c r="K81" s="15">
        <f t="shared" si="3"/>
        <v>93.096876135518983</v>
      </c>
      <c r="L81" s="15">
        <f t="shared" si="4"/>
        <v>48163.668312904185</v>
      </c>
    </row>
    <row r="82" spans="1:12" x14ac:dyDescent="0.3">
      <c r="A82" s="4">
        <v>42552</v>
      </c>
      <c r="B82" s="5">
        <v>79</v>
      </c>
      <c r="C82" s="5" t="s">
        <v>9</v>
      </c>
      <c r="D82" s="6">
        <v>48817</v>
      </c>
      <c r="F82" s="15">
        <f t="shared" si="5"/>
        <v>47029.266181525338</v>
      </c>
      <c r="K82" s="15">
        <f t="shared" si="3"/>
        <v>266.5455319286105</v>
      </c>
      <c r="L82" s="15">
        <f t="shared" si="4"/>
        <v>48655.577759988635</v>
      </c>
    </row>
    <row r="83" spans="1:12" x14ac:dyDescent="0.3">
      <c r="A83" s="4">
        <v>42583</v>
      </c>
      <c r="B83" s="5">
        <v>80</v>
      </c>
      <c r="C83" s="5" t="s">
        <v>10</v>
      </c>
      <c r="D83" s="6">
        <v>47920</v>
      </c>
      <c r="F83" s="15">
        <f t="shared" si="5"/>
        <v>47440.908442263208</v>
      </c>
      <c r="K83" s="15">
        <f t="shared" si="3"/>
        <v>-43.711764693243765</v>
      </c>
      <c r="L83" s="15">
        <f t="shared" si="4"/>
        <v>48208.744975114198</v>
      </c>
    </row>
    <row r="84" spans="1:12" x14ac:dyDescent="0.3">
      <c r="A84" s="4">
        <v>42614</v>
      </c>
      <c r="B84" s="5">
        <v>81</v>
      </c>
      <c r="C84" s="5" t="s">
        <v>11</v>
      </c>
      <c r="D84" s="6">
        <v>45692</v>
      </c>
      <c r="F84" s="15">
        <f t="shared" si="5"/>
        <v>47551.22370837786</v>
      </c>
      <c r="K84" s="15">
        <f t="shared" si="3"/>
        <v>-809.36266265144968</v>
      </c>
      <c r="L84" s="15">
        <f t="shared" si="4"/>
        <v>46404.562933681962</v>
      </c>
    </row>
    <row r="85" spans="1:12" x14ac:dyDescent="0.3">
      <c r="A85" s="4">
        <v>42644</v>
      </c>
      <c r="B85" s="5">
        <v>82</v>
      </c>
      <c r="C85" s="5" t="s">
        <v>12</v>
      </c>
      <c r="D85" s="6">
        <v>47270</v>
      </c>
      <c r="F85" s="15">
        <f t="shared" si="5"/>
        <v>47123.12023870858</v>
      </c>
      <c r="K85" s="15">
        <f t="shared" si="3"/>
        <v>-290.84479116383898</v>
      </c>
      <c r="L85" s="15">
        <f t="shared" si="4"/>
        <v>46787.434621105989</v>
      </c>
    </row>
    <row r="86" spans="1:12" x14ac:dyDescent="0.3">
      <c r="A86" s="4">
        <v>42675</v>
      </c>
      <c r="B86" s="5">
        <v>83</v>
      </c>
      <c r="C86" s="5" t="s">
        <v>13</v>
      </c>
      <c r="D86" s="6">
        <v>45581</v>
      </c>
      <c r="F86" s="15">
        <f t="shared" si="5"/>
        <v>47156.940663410416</v>
      </c>
      <c r="K86" s="15">
        <f t="shared" si="3"/>
        <v>-574.31133439610039</v>
      </c>
      <c r="L86" s="15">
        <f t="shared" si="4"/>
        <v>45844.811813170876</v>
      </c>
    </row>
    <row r="87" spans="1:12" x14ac:dyDescent="0.3">
      <c r="A87" s="4">
        <v>42705</v>
      </c>
      <c r="B87" s="5">
        <v>84</v>
      </c>
      <c r="C87" s="5" t="s">
        <v>14</v>
      </c>
      <c r="D87" s="6">
        <v>49559</v>
      </c>
      <c r="F87" s="15">
        <f t="shared" si="5"/>
        <v>46794.06573719321</v>
      </c>
      <c r="K87" s="15">
        <f t="shared" si="3"/>
        <v>753.40779832048622</v>
      </c>
      <c r="L87" s="15">
        <f t="shared" si="4"/>
        <v>48323.340977281987</v>
      </c>
    </row>
    <row r="88" spans="1:12" x14ac:dyDescent="0.3">
      <c r="A88" s="4">
        <v>42736</v>
      </c>
      <c r="B88" s="5">
        <v>85</v>
      </c>
      <c r="C88" s="5" t="s">
        <v>3</v>
      </c>
      <c r="D88" s="6">
        <v>45897</v>
      </c>
      <c r="F88" s="15">
        <f t="shared" si="5"/>
        <v>47430.717446173301</v>
      </c>
      <c r="K88" s="15">
        <f t="shared" si="3"/>
        <v>-231.04218603986436</v>
      </c>
      <c r="L88" s="15">
        <f t="shared" si="4"/>
        <v>46813.191139838862</v>
      </c>
    </row>
    <row r="89" spans="1:12" x14ac:dyDescent="0.3">
      <c r="A89" s="4">
        <v>42767</v>
      </c>
      <c r="B89" s="5">
        <v>86</v>
      </c>
      <c r="C89" s="5" t="s">
        <v>4</v>
      </c>
      <c r="D89" s="6">
        <v>45364</v>
      </c>
      <c r="F89" s="15">
        <f t="shared" si="5"/>
        <v>47077.564806584836</v>
      </c>
      <c r="K89" s="15">
        <f t="shared" si="3"/>
        <v>-608.1810115084852</v>
      </c>
      <c r="L89" s="15">
        <f t="shared" si="4"/>
        <v>45714.989136952543</v>
      </c>
    </row>
    <row r="90" spans="1:12" x14ac:dyDescent="0.3">
      <c r="A90" s="4">
        <v>42795</v>
      </c>
      <c r="B90" s="5">
        <v>87</v>
      </c>
      <c r="C90" s="5" t="s">
        <v>5</v>
      </c>
      <c r="D90" s="6">
        <v>51845</v>
      </c>
      <c r="F90" s="15">
        <f t="shared" si="5"/>
        <v>46683.000647416404</v>
      </c>
      <c r="K90" s="15">
        <f t="shared" si="3"/>
        <v>1477.962691547677</v>
      </c>
      <c r="L90" s="15">
        <f t="shared" si="4"/>
        <v>49903.503319076626</v>
      </c>
    </row>
    <row r="91" spans="1:12" x14ac:dyDescent="0.3">
      <c r="A91" s="4">
        <v>42826</v>
      </c>
      <c r="B91" s="5">
        <v>88</v>
      </c>
      <c r="C91" s="5" t="s">
        <v>6</v>
      </c>
      <c r="D91" s="6">
        <v>50245</v>
      </c>
      <c r="F91" s="15">
        <f t="shared" si="5"/>
        <v>47871.598782925161</v>
      </c>
      <c r="K91" s="15">
        <f t="shared" si="3"/>
        <v>1126.1128992089159</v>
      </c>
      <c r="L91" s="15">
        <f t="shared" si="4"/>
        <v>50572.453570436468</v>
      </c>
    </row>
    <row r="92" spans="1:12" x14ac:dyDescent="0.3">
      <c r="A92" s="4">
        <v>42856</v>
      </c>
      <c r="B92" s="5">
        <v>89</v>
      </c>
      <c r="C92" s="5" t="s">
        <v>7</v>
      </c>
      <c r="D92" s="6">
        <v>51829</v>
      </c>
      <c r="F92" s="15">
        <f t="shared" si="5"/>
        <v>48418.096383707976</v>
      </c>
      <c r="K92" s="15">
        <f t="shared" si="3"/>
        <v>1166.4951105027435</v>
      </c>
      <c r="L92" s="15">
        <f t="shared" si="4"/>
        <v>51791.417771565568</v>
      </c>
    </row>
    <row r="93" spans="1:12" x14ac:dyDescent="0.3">
      <c r="A93" s="4">
        <v>42887</v>
      </c>
      <c r="B93" s="5">
        <v>90</v>
      </c>
      <c r="C93" s="5" t="s">
        <v>8</v>
      </c>
      <c r="D93" s="6">
        <v>51013</v>
      </c>
      <c r="F93" s="15">
        <f t="shared" si="5"/>
        <v>49203.488516059886</v>
      </c>
      <c r="K93" s="15">
        <f t="shared" si="3"/>
        <v>564.35022691154813</v>
      </c>
      <c r="L93" s="15">
        <f t="shared" si="4"/>
        <v>51573.393941804985</v>
      </c>
    </row>
    <row r="94" spans="1:12" x14ac:dyDescent="0.3">
      <c r="A94" s="4">
        <v>42917</v>
      </c>
      <c r="B94" s="5">
        <v>91</v>
      </c>
      <c r="C94" s="5" t="s">
        <v>9</v>
      </c>
      <c r="D94" s="6">
        <v>51173</v>
      </c>
      <c r="F94" s="15">
        <f t="shared" si="5"/>
        <v>49620.145285866813</v>
      </c>
      <c r="K94" s="15">
        <f t="shared" si="3"/>
        <v>265.66550405170904</v>
      </c>
      <c r="L94" s="15">
        <f t="shared" si="4"/>
        <v>51450.974809321786</v>
      </c>
    </row>
    <row r="95" spans="1:12" x14ac:dyDescent="0.3">
      <c r="A95" s="4">
        <v>42948</v>
      </c>
      <c r="B95" s="5">
        <v>92</v>
      </c>
      <c r="C95" s="5" t="s">
        <v>10</v>
      </c>
      <c r="D95" s="6">
        <v>50943</v>
      </c>
      <c r="F95" s="15">
        <f t="shared" si="5"/>
        <v>49977.704458556545</v>
      </c>
      <c r="K95" s="15">
        <f t="shared" si="3"/>
        <v>26.146520588378735</v>
      </c>
      <c r="L95" s="15">
        <f t="shared" si="4"/>
        <v>51165.91144695878</v>
      </c>
    </row>
    <row r="96" spans="1:12" x14ac:dyDescent="0.3">
      <c r="A96" s="4">
        <v>42979</v>
      </c>
      <c r="B96" s="5">
        <v>93</v>
      </c>
      <c r="C96" s="5" t="s">
        <v>11</v>
      </c>
      <c r="D96" s="6">
        <v>48447</v>
      </c>
      <c r="F96" s="15">
        <f t="shared" si="5"/>
        <v>50199.97269270508</v>
      </c>
      <c r="K96" s="15">
        <f t="shared" si="3"/>
        <v>-823.72322193806599</v>
      </c>
      <c r="L96" s="15">
        <f t="shared" si="4"/>
        <v>49237.942293148386</v>
      </c>
    </row>
    <row r="97" spans="1:15" x14ac:dyDescent="0.3">
      <c r="A97" s="4">
        <v>43009</v>
      </c>
      <c r="B97" s="5">
        <v>94</v>
      </c>
      <c r="C97" s="5" t="s">
        <v>12</v>
      </c>
      <c r="D97" s="6">
        <v>49408</v>
      </c>
      <c r="F97" s="15">
        <f t="shared" si="5"/>
        <v>49796.334502959049</v>
      </c>
      <c r="K97" s="15">
        <f t="shared" si="3"/>
        <v>-516.04872031985485</v>
      </c>
      <c r="L97" s="15">
        <f t="shared" si="4"/>
        <v>49121.658736537938</v>
      </c>
    </row>
    <row r="98" spans="1:15" x14ac:dyDescent="0.3">
      <c r="A98" s="4">
        <v>43040</v>
      </c>
      <c r="B98" s="5">
        <v>95</v>
      </c>
      <c r="C98" s="5" t="s">
        <v>13</v>
      </c>
      <c r="D98" s="6">
        <v>47580</v>
      </c>
      <c r="F98" s="15">
        <f t="shared" si="5"/>
        <v>49706.91688884412</v>
      </c>
      <c r="K98" s="15">
        <f t="shared" si="3"/>
        <v>-833.57750503788725</v>
      </c>
      <c r="L98" s="15">
        <f t="shared" si="4"/>
        <v>47875.512279774674</v>
      </c>
    </row>
    <row r="99" spans="1:15" x14ac:dyDescent="0.3">
      <c r="A99" s="4">
        <v>43070</v>
      </c>
      <c r="B99" s="5">
        <v>96</v>
      </c>
      <c r="C99" s="5" t="s">
        <v>14</v>
      </c>
      <c r="D99" s="6">
        <v>53037</v>
      </c>
      <c r="F99" s="15">
        <f t="shared" si="5"/>
        <v>49217.174586339395</v>
      </c>
      <c r="K99" s="15">
        <f t="shared" si="3"/>
        <v>1022.4942426842026</v>
      </c>
      <c r="L99" s="15">
        <f t="shared" si="4"/>
        <v>51309.622766840592</v>
      </c>
    </row>
    <row r="100" spans="1:15" x14ac:dyDescent="0.3">
      <c r="A100" s="4">
        <v>43101</v>
      </c>
      <c r="B100" s="5">
        <v>97</v>
      </c>
      <c r="C100" s="5" t="s">
        <v>3</v>
      </c>
      <c r="D100" s="6">
        <v>47333</v>
      </c>
      <c r="F100" s="15">
        <f t="shared" si="5"/>
        <v>50096.724747920409</v>
      </c>
      <c r="K100" s="15">
        <f t="shared" si="3"/>
        <v>-525.23201154158448</v>
      </c>
      <c r="L100" s="15">
        <f t="shared" si="4"/>
        <v>48773.411502407624</v>
      </c>
    </row>
    <row r="101" spans="1:15" x14ac:dyDescent="0.3">
      <c r="A101" s="4">
        <v>43132</v>
      </c>
      <c r="B101" s="5">
        <v>98</v>
      </c>
      <c r="C101" s="5" t="s">
        <v>4</v>
      </c>
      <c r="D101" s="6">
        <v>47095</v>
      </c>
      <c r="F101" s="15">
        <f t="shared" si="5"/>
        <v>49460.351540939388</v>
      </c>
      <c r="K101" s="15">
        <f t="shared" si="3"/>
        <v>-882.25629611974341</v>
      </c>
      <c r="L101" s="15">
        <f t="shared" si="4"/>
        <v>47427.269278718464</v>
      </c>
    </row>
    <row r="102" spans="1:15" x14ac:dyDescent="0.3">
      <c r="A102" s="4">
        <v>43160</v>
      </c>
      <c r="B102" s="5">
        <v>99</v>
      </c>
      <c r="C102" s="5" t="s">
        <v>5</v>
      </c>
      <c r="D102" s="6">
        <v>54782</v>
      </c>
      <c r="F102" s="15">
        <f t="shared" si="5"/>
        <v>48915.707452602532</v>
      </c>
      <c r="K102" s="15">
        <f t="shared" si="3"/>
        <v>1667.9142716543395</v>
      </c>
      <c r="L102" s="15">
        <f t="shared" si="4"/>
        <v>52408.650702025698</v>
      </c>
    </row>
    <row r="103" spans="1:15" x14ac:dyDescent="0.3">
      <c r="A103" s="4">
        <v>43191</v>
      </c>
      <c r="B103" s="5">
        <v>100</v>
      </c>
      <c r="C103" s="5" t="s">
        <v>6</v>
      </c>
      <c r="D103" s="6">
        <v>51700</v>
      </c>
      <c r="F103" s="15">
        <f t="shared" si="5"/>
        <v>50266.47561585225</v>
      </c>
      <c r="K103" s="15">
        <f t="shared" si="3"/>
        <v>932.12993261410179</v>
      </c>
      <c r="L103" s="15">
        <f t="shared" si="4"/>
        <v>52384.767233450533</v>
      </c>
    </row>
    <row r="104" spans="1:15" x14ac:dyDescent="0.3">
      <c r="A104" s="4">
        <v>43221</v>
      </c>
      <c r="B104" s="5">
        <v>101</v>
      </c>
      <c r="C104" s="5" t="s">
        <v>7</v>
      </c>
      <c r="D104" s="6">
        <v>55395</v>
      </c>
      <c r="F104" s="15">
        <f t="shared" si="5"/>
        <v>50596.557875423161</v>
      </c>
      <c r="K104" s="15">
        <f t="shared" si="3"/>
        <v>1575.5104153943039</v>
      </c>
      <c r="L104" s="15">
        <f t="shared" si="4"/>
        <v>54796.229613253061</v>
      </c>
    </row>
    <row r="105" spans="1:15" x14ac:dyDescent="0.3">
      <c r="A105" s="4">
        <v>43252</v>
      </c>
      <c r="B105" s="5">
        <v>102</v>
      </c>
      <c r="C105" s="5" t="s">
        <v>8</v>
      </c>
      <c r="D105" s="6">
        <v>55556</v>
      </c>
      <c r="F105" s="15">
        <f t="shared" si="5"/>
        <v>51701.443593737742</v>
      </c>
      <c r="K105" s="15">
        <f t="shared" si="3"/>
        <v>1322.9573632143088</v>
      </c>
      <c r="L105" s="15">
        <f t="shared" si="4"/>
        <v>55791.041771976787</v>
      </c>
    </row>
    <row r="106" spans="1:15" x14ac:dyDescent="0.3">
      <c r="A106" s="4">
        <v>43282</v>
      </c>
      <c r="B106" s="5">
        <v>103</v>
      </c>
      <c r="C106" s="5" t="s">
        <v>9</v>
      </c>
      <c r="D106" s="6">
        <v>55840</v>
      </c>
      <c r="F106" s="15">
        <f t="shared" si="5"/>
        <v>52588.990887869732</v>
      </c>
      <c r="K106" s="15">
        <f t="shared" si="3"/>
        <v>928.52732574182073</v>
      </c>
      <c r="L106" s="15">
        <f t="shared" si="4"/>
        <v>56207.081427558151</v>
      </c>
    </row>
    <row r="107" spans="1:15" x14ac:dyDescent="0.3">
      <c r="A107" s="4">
        <v>43313</v>
      </c>
      <c r="B107" s="5">
        <v>104</v>
      </c>
      <c r="C107" s="5" t="s">
        <v>10</v>
      </c>
      <c r="D107" s="6">
        <v>56029</v>
      </c>
      <c r="F107" s="15">
        <f t="shared" si="5"/>
        <v>53337.565830496569</v>
      </c>
      <c r="K107" s="15">
        <f t="shared" si="3"/>
        <v>585.92133804935884</v>
      </c>
      <c r="L107" s="15">
        <f t="shared" si="4"/>
        <v>56347.850703810545</v>
      </c>
    </row>
    <row r="108" spans="1:15" x14ac:dyDescent="0.3">
      <c r="A108" s="4">
        <v>43344</v>
      </c>
      <c r="B108" s="5">
        <v>105</v>
      </c>
      <c r="C108" s="5" t="s">
        <v>11</v>
      </c>
      <c r="D108" s="6">
        <v>50923</v>
      </c>
      <c r="F108" s="15">
        <f t="shared" si="5"/>
        <v>53957.293462603935</v>
      </c>
      <c r="K108" s="15">
        <f t="shared" si="3"/>
        <v>-1275.0132389225105</v>
      </c>
      <c r="L108" s="15">
        <f t="shared" si="4"/>
        <v>52654.9028882399</v>
      </c>
    </row>
    <row r="109" spans="1:15" x14ac:dyDescent="0.3">
      <c r="A109" s="4">
        <v>43374</v>
      </c>
      <c r="B109" s="5">
        <v>106</v>
      </c>
      <c r="C109" s="5" t="s">
        <v>12</v>
      </c>
      <c r="D109" s="6">
        <v>52322</v>
      </c>
      <c r="F109" s="15">
        <f t="shared" si="5"/>
        <v>53258.619304415144</v>
      </c>
      <c r="K109" s="15">
        <f t="shared" si="3"/>
        <v>-983.3359444420712</v>
      </c>
      <c r="L109" s="15">
        <f t="shared" si="4"/>
        <v>52050.546744740124</v>
      </c>
    </row>
    <row r="110" spans="1:15" x14ac:dyDescent="0.3">
      <c r="A110" s="4">
        <v>43405</v>
      </c>
      <c r="B110" s="5">
        <v>107</v>
      </c>
      <c r="C110" s="5" t="s">
        <v>13</v>
      </c>
      <c r="D110" s="6">
        <v>50429</v>
      </c>
      <c r="F110" s="15">
        <f t="shared" si="5"/>
        <v>53042.954039298027</v>
      </c>
      <c r="K110" s="15">
        <f t="shared" si="3"/>
        <v>-1180.9259607328979</v>
      </c>
      <c r="L110" s="15">
        <f t="shared" si="4"/>
        <v>50612.889710114519</v>
      </c>
    </row>
    <row r="111" spans="1:15" x14ac:dyDescent="0.3">
      <c r="A111" s="4">
        <v>43435</v>
      </c>
      <c r="B111" s="5">
        <v>108</v>
      </c>
      <c r="C111" s="5" t="s">
        <v>14</v>
      </c>
      <c r="D111" s="6">
        <v>54567</v>
      </c>
      <c r="F111" s="15">
        <f t="shared" si="5"/>
        <v>52441.066924403262</v>
      </c>
      <c r="G111" s="2" t="s">
        <v>37</v>
      </c>
      <c r="H111" s="2" t="s">
        <v>33</v>
      </c>
      <c r="I111" s="2" t="s">
        <v>34</v>
      </c>
      <c r="J111" s="2"/>
      <c r="K111" s="15">
        <f t="shared" si="3"/>
        <v>408.88088042337745</v>
      </c>
      <c r="L111" s="15">
        <f t="shared" si="4"/>
        <v>53087.425653854836</v>
      </c>
      <c r="M111" s="12" t="s">
        <v>37</v>
      </c>
      <c r="N111" s="2" t="s">
        <v>33</v>
      </c>
      <c r="O111" s="2" t="s">
        <v>34</v>
      </c>
    </row>
    <row r="112" spans="1:15" x14ac:dyDescent="0.3">
      <c r="A112" s="4">
        <v>43466</v>
      </c>
      <c r="B112" s="5">
        <v>109</v>
      </c>
      <c r="C112" s="5" t="s">
        <v>3</v>
      </c>
      <c r="D112" s="6">
        <v>49445</v>
      </c>
      <c r="F112" s="15"/>
      <c r="G112" s="17">
        <f>$F$111</f>
        <v>52441.066924403262</v>
      </c>
      <c r="H112" s="39">
        <f>ABS((D112-G112)/D112)</f>
        <v>6.0593931123536483E-2</v>
      </c>
      <c r="I112" s="18">
        <f>(D112-G112)^2</f>
        <v>8976417.0155032184</v>
      </c>
      <c r="J112" s="11"/>
      <c r="K112" s="11"/>
      <c r="L112" s="13"/>
      <c r="M112" s="38">
        <f>L111+1*K111</f>
        <v>53496.306534278214</v>
      </c>
      <c r="N112" s="9">
        <f>ABS((D112-M112)/D112)</f>
        <v>8.1935616023424279E-2</v>
      </c>
      <c r="O112" s="18">
        <f>(D112-M112)^2</f>
        <v>16413084.634685352</v>
      </c>
    </row>
    <row r="113" spans="1:15" x14ac:dyDescent="0.3">
      <c r="A113" s="4">
        <v>43497</v>
      </c>
      <c r="B113" s="5">
        <v>110</v>
      </c>
      <c r="C113" s="5" t="s">
        <v>4</v>
      </c>
      <c r="D113" s="6">
        <v>49162</v>
      </c>
      <c r="F113" s="15"/>
      <c r="G113" s="17">
        <f t="shared" ref="G113:G123" si="6">$F$111</f>
        <v>52441.066924403262</v>
      </c>
      <c r="H113" s="39">
        <f t="shared" ref="H113:H123" si="7">ABS((D113-G113)/D113)</f>
        <v>6.6699217371206654E-2</v>
      </c>
      <c r="I113" s="18">
        <f t="shared" ref="I113:I123" si="8">(D113-G113)^2</f>
        <v>10752279.894715466</v>
      </c>
      <c r="J113" s="11"/>
      <c r="K113" s="11"/>
      <c r="L113" s="13"/>
      <c r="M113" s="38">
        <f>L111+2*K111</f>
        <v>53905.187414701591</v>
      </c>
      <c r="N113" s="9">
        <f t="shared" ref="N113:N123" si="9">ABS((D113-M113)/D113)</f>
        <v>9.6480765931035994E-2</v>
      </c>
      <c r="O113" s="18">
        <f t="shared" ref="O113:O123" si="10">(D113-M113)^2</f>
        <v>22497826.850983568</v>
      </c>
    </row>
    <row r="114" spans="1:15" x14ac:dyDescent="0.3">
      <c r="A114" s="4">
        <v>43525</v>
      </c>
      <c r="B114" s="5">
        <v>111</v>
      </c>
      <c r="C114" s="5" t="s">
        <v>5</v>
      </c>
      <c r="D114" s="6">
        <v>57230</v>
      </c>
      <c r="F114" s="15"/>
      <c r="G114" s="17">
        <f t="shared" si="6"/>
        <v>52441.066924403262</v>
      </c>
      <c r="H114" s="39">
        <f t="shared" si="7"/>
        <v>8.3678718776808297E-2</v>
      </c>
      <c r="I114" s="18">
        <f t="shared" si="8"/>
        <v>22933880.002544437</v>
      </c>
      <c r="J114" s="11"/>
      <c r="K114" s="11"/>
      <c r="L114" s="13"/>
      <c r="M114" s="38">
        <f>L111+3*K111</f>
        <v>54314.068295124969</v>
      </c>
      <c r="N114" s="9">
        <f t="shared" si="9"/>
        <v>5.0951104401101358E-2</v>
      </c>
      <c r="O114" s="18">
        <f t="shared" si="10"/>
        <v>8502657.7074954044</v>
      </c>
    </row>
    <row r="115" spans="1:15" x14ac:dyDescent="0.3">
      <c r="A115" s="4">
        <v>43556</v>
      </c>
      <c r="B115" s="5">
        <v>112</v>
      </c>
      <c r="C115" s="5" t="s">
        <v>6</v>
      </c>
      <c r="D115" s="6">
        <v>54723</v>
      </c>
      <c r="F115" s="15"/>
      <c r="G115" s="17">
        <f t="shared" si="6"/>
        <v>52441.066924403262</v>
      </c>
      <c r="H115" s="39">
        <f t="shared" si="7"/>
        <v>4.169970717242729E-2</v>
      </c>
      <c r="I115" s="18">
        <f t="shared" si="8"/>
        <v>5207218.5615023905</v>
      </c>
      <c r="J115" s="11"/>
      <c r="K115" s="11"/>
      <c r="L115" s="13"/>
      <c r="M115" s="38">
        <f>L111+4*K111</f>
        <v>54722.949175548347</v>
      </c>
      <c r="N115" s="9">
        <f t="shared" si="9"/>
        <v>9.2875850470863077E-7</v>
      </c>
      <c r="O115" s="18">
        <f t="shared" si="10"/>
        <v>2.5831248858454552E-3</v>
      </c>
    </row>
    <row r="116" spans="1:15" x14ac:dyDescent="0.3">
      <c r="A116" s="4">
        <v>43586</v>
      </c>
      <c r="B116" s="5">
        <v>113</v>
      </c>
      <c r="C116" s="5" t="s">
        <v>7</v>
      </c>
      <c r="D116" s="6">
        <v>58681</v>
      </c>
      <c r="F116" s="15"/>
      <c r="G116" s="17">
        <f t="shared" si="6"/>
        <v>52441.066924403262</v>
      </c>
      <c r="H116" s="39">
        <f t="shared" si="7"/>
        <v>0.10633651566259503</v>
      </c>
      <c r="I116" s="18">
        <f t="shared" si="8"/>
        <v>38936764.787926175</v>
      </c>
      <c r="J116" s="11"/>
      <c r="K116" s="11"/>
      <c r="L116" s="13"/>
      <c r="M116" s="38">
        <f>L111+5*K111</f>
        <v>55131.830055971725</v>
      </c>
      <c r="N116" s="9">
        <f t="shared" si="9"/>
        <v>6.0482437995744369E-2</v>
      </c>
      <c r="O116" s="18">
        <f t="shared" si="10"/>
        <v>12596607.291593673</v>
      </c>
    </row>
    <row r="117" spans="1:15" x14ac:dyDescent="0.3">
      <c r="A117" s="4">
        <v>43617</v>
      </c>
      <c r="B117" s="5">
        <v>114</v>
      </c>
      <c r="C117" s="5" t="s">
        <v>8</v>
      </c>
      <c r="D117" s="6">
        <v>57911</v>
      </c>
      <c r="F117" s="15"/>
      <c r="G117" s="17">
        <f t="shared" si="6"/>
        <v>52441.066924403262</v>
      </c>
      <c r="H117" s="39">
        <f t="shared" si="7"/>
        <v>9.4454129191289024E-2</v>
      </c>
      <c r="I117" s="18">
        <f t="shared" si="8"/>
        <v>29920167.851507194</v>
      </c>
      <c r="J117" s="11"/>
      <c r="K117" s="11"/>
      <c r="L117" s="13"/>
      <c r="M117" s="38">
        <f>L111+6*K111</f>
        <v>55540.710936395102</v>
      </c>
      <c r="N117" s="9">
        <f t="shared" si="9"/>
        <v>4.0929858983697359E-2</v>
      </c>
      <c r="O117" s="18">
        <f t="shared" si="10"/>
        <v>5618270.245044983</v>
      </c>
    </row>
    <row r="118" spans="1:15" x14ac:dyDescent="0.3">
      <c r="A118" s="4">
        <v>43647</v>
      </c>
      <c r="B118" s="5">
        <v>115</v>
      </c>
      <c r="C118" s="5" t="s">
        <v>9</v>
      </c>
      <c r="D118" s="6">
        <v>58456</v>
      </c>
      <c r="F118" s="15"/>
      <c r="G118" s="17">
        <f t="shared" si="6"/>
        <v>52441.066924403262</v>
      </c>
      <c r="H118" s="39">
        <f t="shared" si="7"/>
        <v>0.10289676124943099</v>
      </c>
      <c r="I118" s="18">
        <f t="shared" si="8"/>
        <v>36179419.903907642</v>
      </c>
      <c r="J118" s="11"/>
      <c r="K118" s="11"/>
      <c r="L118" s="13"/>
      <c r="M118" s="38">
        <f>L111+7*K111</f>
        <v>55949.59181681848</v>
      </c>
      <c r="N118" s="9">
        <f t="shared" si="9"/>
        <v>4.2876833570232656E-2</v>
      </c>
      <c r="O118" s="18">
        <f t="shared" si="10"/>
        <v>6282081.9807192888</v>
      </c>
    </row>
    <row r="119" spans="1:15" x14ac:dyDescent="0.3">
      <c r="A119" s="4">
        <v>43678</v>
      </c>
      <c r="B119" s="5">
        <v>116</v>
      </c>
      <c r="C119" s="5" t="s">
        <v>10</v>
      </c>
      <c r="D119" s="6">
        <v>59213</v>
      </c>
      <c r="F119" s="15"/>
      <c r="G119" s="17">
        <f t="shared" si="6"/>
        <v>52441.066924403262</v>
      </c>
      <c r="H119" s="39">
        <f t="shared" si="7"/>
        <v>0.11436564733414518</v>
      </c>
      <c r="I119" s="18">
        <f t="shared" si="8"/>
        <v>45859077.580361106</v>
      </c>
      <c r="J119" s="11"/>
      <c r="K119" s="11"/>
      <c r="L119" s="13"/>
      <c r="M119" s="38">
        <f>L111+8*K111</f>
        <v>56358.472697241858</v>
      </c>
      <c r="N119" s="9">
        <f t="shared" si="9"/>
        <v>4.8207780432643885E-2</v>
      </c>
      <c r="O119" s="18">
        <f t="shared" si="10"/>
        <v>8148326.1221916759</v>
      </c>
    </row>
    <row r="120" spans="1:15" x14ac:dyDescent="0.3">
      <c r="A120" s="4">
        <v>43709</v>
      </c>
      <c r="B120" s="5">
        <v>117</v>
      </c>
      <c r="C120" s="5" t="s">
        <v>11</v>
      </c>
      <c r="D120" s="6">
        <v>53997</v>
      </c>
      <c r="F120" s="15"/>
      <c r="G120" s="17">
        <f t="shared" si="6"/>
        <v>52441.066924403262</v>
      </c>
      <c r="H120" s="39">
        <f t="shared" si="7"/>
        <v>2.8815176317142407E-2</v>
      </c>
      <c r="I120" s="18">
        <f t="shared" si="8"/>
        <v>2420927.7357359258</v>
      </c>
      <c r="J120" s="11"/>
      <c r="K120" s="11"/>
      <c r="L120" s="13"/>
      <c r="M120" s="38">
        <f>L111+9*K111</f>
        <v>56767.353577665235</v>
      </c>
      <c r="N120" s="9">
        <f t="shared" si="9"/>
        <v>5.130569434719031E-2</v>
      </c>
      <c r="O120" s="18">
        <f t="shared" si="10"/>
        <v>7674858.9452825682</v>
      </c>
    </row>
    <row r="121" spans="1:15" x14ac:dyDescent="0.3">
      <c r="A121" s="4">
        <v>43739</v>
      </c>
      <c r="B121" s="5">
        <v>118</v>
      </c>
      <c r="C121" s="5" t="s">
        <v>12</v>
      </c>
      <c r="D121" s="6">
        <v>55928</v>
      </c>
      <c r="F121" s="15"/>
      <c r="G121" s="17">
        <f t="shared" si="6"/>
        <v>52441.066924403262</v>
      </c>
      <c r="H121" s="39">
        <f t="shared" si="7"/>
        <v>6.2346822264281551E-2</v>
      </c>
      <c r="I121" s="18">
        <f t="shared" si="8"/>
        <v>12158702.273690529</v>
      </c>
      <c r="J121" s="11"/>
      <c r="K121" s="11"/>
      <c r="L121" s="13"/>
      <c r="M121" s="38">
        <f>L111+10*K111</f>
        <v>57176.234458088613</v>
      </c>
      <c r="N121" s="9">
        <f t="shared" si="9"/>
        <v>2.2318596375493722E-2</v>
      </c>
      <c r="O121" s="18">
        <f t="shared" si="10"/>
        <v>1558089.262359773</v>
      </c>
    </row>
    <row r="122" spans="1:15" x14ac:dyDescent="0.3">
      <c r="A122" s="4">
        <v>43770</v>
      </c>
      <c r="B122" s="5">
        <v>119</v>
      </c>
      <c r="C122" s="5" t="s">
        <v>13</v>
      </c>
      <c r="D122" s="6">
        <v>54579</v>
      </c>
      <c r="F122" s="15"/>
      <c r="G122" s="17">
        <f t="shared" si="6"/>
        <v>52441.066924403262</v>
      </c>
      <c r="H122" s="39">
        <f t="shared" si="7"/>
        <v>3.9171349339429791E-2</v>
      </c>
      <c r="I122" s="18">
        <f t="shared" si="8"/>
        <v>4570757.8357305294</v>
      </c>
      <c r="J122" s="11"/>
      <c r="K122" s="11"/>
      <c r="L122" s="13"/>
      <c r="M122" s="38">
        <f>L111+11*K111</f>
        <v>57585.115338511991</v>
      </c>
      <c r="N122" s="9">
        <f t="shared" si="9"/>
        <v>5.5078241420912631E-2</v>
      </c>
      <c r="O122" s="18">
        <f t="shared" si="10"/>
        <v>9036729.4284370597</v>
      </c>
    </row>
    <row r="123" spans="1:15" x14ac:dyDescent="0.3">
      <c r="A123" s="4">
        <v>43800</v>
      </c>
      <c r="B123" s="5">
        <v>120</v>
      </c>
      <c r="C123" s="5" t="s">
        <v>14</v>
      </c>
      <c r="D123" s="6">
        <v>57994</v>
      </c>
      <c r="F123" s="15"/>
      <c r="G123" s="17">
        <f t="shared" si="6"/>
        <v>52441.066924403262</v>
      </c>
      <c r="H123" s="39">
        <f t="shared" si="7"/>
        <v>9.5750130627250032E-2</v>
      </c>
      <c r="I123" s="18">
        <f t="shared" si="8"/>
        <v>30835065.742056254</v>
      </c>
      <c r="J123" s="11"/>
      <c r="K123" s="11"/>
      <c r="L123" s="13"/>
      <c r="M123" s="38">
        <f>L111+12*K111</f>
        <v>57993.996218935368</v>
      </c>
      <c r="N123" s="9">
        <f t="shared" si="9"/>
        <v>6.5197514083640371E-8</v>
      </c>
      <c r="O123" s="18">
        <f t="shared" si="10"/>
        <v>1.4296449749596594E-5</v>
      </c>
    </row>
    <row r="124" spans="1:15" x14ac:dyDescent="0.3">
      <c r="A124" s="1"/>
      <c r="K124" s="13"/>
      <c r="L124" s="13"/>
    </row>
    <row r="125" spans="1:15" x14ac:dyDescent="0.3">
      <c r="A125" s="1"/>
      <c r="G125" s="2" t="s">
        <v>35</v>
      </c>
      <c r="H125" s="39">
        <f>AVERAGE(H112:H123)</f>
        <v>7.4734008869128565E-2</v>
      </c>
      <c r="I125" s="9">
        <f>SQRT(AVERAGE(I112:I123))</f>
        <v>4552.9356755209856</v>
      </c>
      <c r="J125" s="11"/>
      <c r="K125" s="13"/>
      <c r="L125" s="13"/>
      <c r="M125" s="2" t="s">
        <v>35</v>
      </c>
      <c r="N125" s="9">
        <f>AVERAGE(N112:N123)</f>
        <v>4.5880660286457951E-2</v>
      </c>
      <c r="O125" s="18">
        <f>SQRT(AVERAGE(O112:O123))</f>
        <v>2862.5241261194456</v>
      </c>
    </row>
    <row r="126" spans="1:15" x14ac:dyDescent="0.3">
      <c r="A126" s="1"/>
    </row>
    <row r="127" spans="1:15" x14ac:dyDescent="0.3">
      <c r="A127" s="1"/>
    </row>
    <row r="128" spans="1:15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327" spans="17:18" x14ac:dyDescent="0.3">
      <c r="Q327" s="2" t="s">
        <v>33</v>
      </c>
      <c r="R327" s="2" t="s">
        <v>34</v>
      </c>
    </row>
    <row r="328" spans="17:18" x14ac:dyDescent="0.3">
      <c r="Q328" s="9"/>
      <c r="R328" s="9"/>
    </row>
    <row r="329" spans="17:18" x14ac:dyDescent="0.3">
      <c r="Q329" s="9"/>
      <c r="R329" s="9"/>
    </row>
    <row r="330" spans="17:18" x14ac:dyDescent="0.3">
      <c r="Q330" s="9"/>
      <c r="R330" s="9"/>
    </row>
    <row r="331" spans="17:18" x14ac:dyDescent="0.3">
      <c r="Q331" s="9"/>
      <c r="R331" s="9"/>
    </row>
    <row r="332" spans="17:18" x14ac:dyDescent="0.3">
      <c r="Q332" s="9"/>
      <c r="R332" s="9"/>
    </row>
    <row r="333" spans="17:18" x14ac:dyDescent="0.3">
      <c r="Q333" s="9"/>
      <c r="R333" s="9"/>
    </row>
    <row r="334" spans="17:18" x14ac:dyDescent="0.3">
      <c r="Q334" s="9"/>
      <c r="R334" s="9"/>
    </row>
    <row r="335" spans="17:18" x14ac:dyDescent="0.3">
      <c r="Q335" s="9"/>
      <c r="R335" s="9"/>
    </row>
    <row r="336" spans="17:18" x14ac:dyDescent="0.3">
      <c r="Q336" s="9"/>
      <c r="R336" s="9"/>
    </row>
    <row r="337" spans="17:18" x14ac:dyDescent="0.3">
      <c r="Q337" s="9"/>
      <c r="R337" s="9"/>
    </row>
    <row r="338" spans="17:18" x14ac:dyDescent="0.3">
      <c r="Q338" s="9"/>
      <c r="R338" s="9"/>
    </row>
    <row r="339" spans="17:18" x14ac:dyDescent="0.3">
      <c r="Q339" s="9"/>
      <c r="R339" s="9"/>
    </row>
    <row r="341" spans="17:18" x14ac:dyDescent="0.3">
      <c r="Q341" s="9"/>
      <c r="R341" s="9"/>
    </row>
  </sheetData>
  <pageMargins left="0.7" right="0.7" top="0.75" bottom="0.75" header="0.3" footer="0.3"/>
  <ignoredErrors>
    <ignoredError sqref="L5" emptyCellReferenc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4202-A5F2-4D23-9740-E23C870628FE}">
  <dimension ref="A3:L185"/>
  <sheetViews>
    <sheetView topLeftCell="I101" workbookViewId="0">
      <selection activeCell="J109" sqref="J109"/>
    </sheetView>
  </sheetViews>
  <sheetFormatPr defaultColWidth="8.77734375" defaultRowHeight="14.4" x14ac:dyDescent="0.3"/>
  <cols>
    <col min="1" max="1" width="9.109375" bestFit="1" customWidth="1"/>
    <col min="4" max="4" width="14.6640625" customWidth="1"/>
    <col min="5" max="5" width="21.77734375" bestFit="1" customWidth="1"/>
    <col min="6" max="6" width="16.109375" customWidth="1"/>
    <col min="7" max="7" width="13.109375" customWidth="1"/>
    <col min="8" max="8" width="18.6640625" customWidth="1"/>
    <col min="9" max="9" width="22.77734375" bestFit="1" customWidth="1"/>
    <col min="10" max="10" width="13.109375" customWidth="1"/>
    <col min="11" max="11" width="9.33203125" customWidth="1"/>
    <col min="12" max="12" width="18.77734375" customWidth="1"/>
  </cols>
  <sheetData>
    <row r="3" spans="1:9" x14ac:dyDescent="0.3">
      <c r="A3" s="2" t="s">
        <v>16</v>
      </c>
      <c r="B3" s="2" t="s">
        <v>1</v>
      </c>
      <c r="C3" s="2" t="s">
        <v>2</v>
      </c>
      <c r="D3" s="2" t="s">
        <v>17</v>
      </c>
      <c r="E3" s="2" t="s">
        <v>46</v>
      </c>
      <c r="F3" s="2"/>
      <c r="G3" s="2"/>
      <c r="H3" s="2"/>
      <c r="I3" s="2" t="s">
        <v>47</v>
      </c>
    </row>
    <row r="4" spans="1:9" x14ac:dyDescent="0.3">
      <c r="A4" s="4">
        <v>40179</v>
      </c>
      <c r="B4" s="5">
        <v>1</v>
      </c>
      <c r="C4" s="5" t="s">
        <v>3</v>
      </c>
      <c r="D4" s="6">
        <v>30481</v>
      </c>
      <c r="E4" s="22" t="s">
        <v>49</v>
      </c>
      <c r="F4" s="16"/>
      <c r="G4" s="16"/>
      <c r="H4" s="16"/>
      <c r="I4" s="22" t="s">
        <v>49</v>
      </c>
    </row>
    <row r="5" spans="1:9" x14ac:dyDescent="0.3">
      <c r="A5" s="4">
        <v>40210</v>
      </c>
      <c r="B5" s="5">
        <v>2</v>
      </c>
      <c r="C5" s="5" t="s">
        <v>4</v>
      </c>
      <c r="D5" s="6">
        <v>30076</v>
      </c>
      <c r="E5" s="22" t="s">
        <v>49</v>
      </c>
      <c r="F5" s="16"/>
      <c r="G5" s="16"/>
      <c r="H5" s="16"/>
      <c r="I5" s="22" t="s">
        <v>49</v>
      </c>
    </row>
    <row r="6" spans="1:9" x14ac:dyDescent="0.3">
      <c r="A6" s="4">
        <v>40238</v>
      </c>
      <c r="B6" s="5">
        <v>3</v>
      </c>
      <c r="C6" s="5" t="s">
        <v>5</v>
      </c>
      <c r="D6" s="6">
        <v>33645</v>
      </c>
      <c r="E6" s="22" t="s">
        <v>49</v>
      </c>
      <c r="F6" s="16"/>
      <c r="G6" s="16"/>
      <c r="H6" s="16"/>
      <c r="I6" s="22" t="s">
        <v>49</v>
      </c>
    </row>
    <row r="7" spans="1:9" x14ac:dyDescent="0.3">
      <c r="A7" s="4">
        <v>40269</v>
      </c>
      <c r="B7" s="5">
        <v>4</v>
      </c>
      <c r="C7" s="5" t="s">
        <v>6</v>
      </c>
      <c r="D7" s="6">
        <v>33287</v>
      </c>
      <c r="E7" s="22" t="s">
        <v>49</v>
      </c>
      <c r="F7" s="16"/>
      <c r="G7" s="16"/>
      <c r="H7" s="16"/>
      <c r="I7" s="10"/>
    </row>
    <row r="8" spans="1:9" x14ac:dyDescent="0.3">
      <c r="A8" s="4">
        <v>40299</v>
      </c>
      <c r="B8" s="5">
        <v>5</v>
      </c>
      <c r="C8" s="5" t="s">
        <v>7</v>
      </c>
      <c r="D8" s="6">
        <v>34623</v>
      </c>
      <c r="E8" s="22" t="s">
        <v>49</v>
      </c>
      <c r="F8" s="16"/>
      <c r="G8" s="16"/>
      <c r="H8" s="16"/>
      <c r="I8" s="15">
        <f>0.4*D7+0.3*D6+0.2*D5+0.1*D4</f>
        <v>32471.600000000006</v>
      </c>
    </row>
    <row r="9" spans="1:9" x14ac:dyDescent="0.3">
      <c r="A9" s="4">
        <v>40330</v>
      </c>
      <c r="B9" s="5">
        <v>6</v>
      </c>
      <c r="C9" s="5" t="s">
        <v>8</v>
      </c>
      <c r="D9" s="6">
        <v>33595</v>
      </c>
      <c r="E9" s="22" t="s">
        <v>49</v>
      </c>
      <c r="F9" s="16"/>
      <c r="G9" s="16"/>
      <c r="H9" s="16"/>
      <c r="I9" s="15">
        <f t="shared" ref="I9:I72" si="0">0.4*D8+0.3*D7+0.2*D6+0.1*D5</f>
        <v>33571.9</v>
      </c>
    </row>
    <row r="10" spans="1:9" x14ac:dyDescent="0.3">
      <c r="A10" s="4">
        <v>40360</v>
      </c>
      <c r="B10" s="5">
        <v>7</v>
      </c>
      <c r="C10" s="5" t="s">
        <v>9</v>
      </c>
      <c r="D10" s="6">
        <v>35062</v>
      </c>
      <c r="E10" s="22" t="s">
        <v>49</v>
      </c>
      <c r="F10" s="16"/>
      <c r="G10" s="16"/>
      <c r="H10" s="16"/>
      <c r="I10" s="15">
        <f t="shared" si="0"/>
        <v>33846.800000000003</v>
      </c>
    </row>
    <row r="11" spans="1:9" x14ac:dyDescent="0.3">
      <c r="A11" s="4">
        <v>40391</v>
      </c>
      <c r="B11" s="5">
        <v>8</v>
      </c>
      <c r="C11" s="5" t="s">
        <v>10</v>
      </c>
      <c r="D11" s="6">
        <v>34358</v>
      </c>
      <c r="E11" s="22" t="s">
        <v>49</v>
      </c>
      <c r="F11" s="16"/>
      <c r="G11" s="16"/>
      <c r="H11" s="16"/>
      <c r="I11" s="15">
        <f t="shared" si="0"/>
        <v>34356.6</v>
      </c>
    </row>
    <row r="12" spans="1:9" x14ac:dyDescent="0.3">
      <c r="A12" s="4">
        <v>40422</v>
      </c>
      <c r="B12" s="5">
        <v>9</v>
      </c>
      <c r="C12" s="5" t="s">
        <v>11</v>
      </c>
      <c r="D12" s="6">
        <v>31780</v>
      </c>
      <c r="E12" s="22" t="s">
        <v>49</v>
      </c>
      <c r="F12" s="16"/>
      <c r="G12" s="16"/>
      <c r="H12" s="16"/>
      <c r="I12" s="15">
        <f t="shared" si="0"/>
        <v>34443.100000000006</v>
      </c>
    </row>
    <row r="13" spans="1:9" x14ac:dyDescent="0.3">
      <c r="A13" s="4">
        <v>40452</v>
      </c>
      <c r="B13" s="5">
        <v>10</v>
      </c>
      <c r="C13" s="5" t="s">
        <v>12</v>
      </c>
      <c r="D13" s="6">
        <v>33607</v>
      </c>
      <c r="E13" s="22" t="s">
        <v>49</v>
      </c>
      <c r="F13" s="16"/>
      <c r="G13" s="16"/>
      <c r="H13" s="16"/>
      <c r="I13" s="15">
        <f t="shared" si="0"/>
        <v>33391.300000000003</v>
      </c>
    </row>
    <row r="14" spans="1:9" x14ac:dyDescent="0.3">
      <c r="A14" s="4">
        <v>40483</v>
      </c>
      <c r="B14" s="5">
        <v>11</v>
      </c>
      <c r="C14" s="5" t="s">
        <v>13</v>
      </c>
      <c r="D14" s="6">
        <v>31563</v>
      </c>
      <c r="E14" s="22" t="s">
        <v>49</v>
      </c>
      <c r="F14" s="16"/>
      <c r="G14" s="16"/>
      <c r="H14" s="16"/>
      <c r="I14" s="15">
        <f t="shared" si="0"/>
        <v>33354.6</v>
      </c>
    </row>
    <row r="15" spans="1:9" x14ac:dyDescent="0.3">
      <c r="A15" s="4">
        <v>40513</v>
      </c>
      <c r="B15" s="5">
        <v>12</v>
      </c>
      <c r="C15" s="5" t="s">
        <v>14</v>
      </c>
      <c r="D15" s="6">
        <v>33849</v>
      </c>
      <c r="E15" s="15"/>
      <c r="F15" s="16"/>
      <c r="G15" s="16"/>
      <c r="H15" s="16"/>
      <c r="I15" s="15">
        <f t="shared" si="0"/>
        <v>32499.100000000002</v>
      </c>
    </row>
    <row r="16" spans="1:9" x14ac:dyDescent="0.3">
      <c r="A16" s="4">
        <v>40544</v>
      </c>
      <c r="B16" s="5">
        <v>13</v>
      </c>
      <c r="C16" s="5" t="s">
        <v>3</v>
      </c>
      <c r="D16" s="6">
        <v>31763</v>
      </c>
      <c r="E16" s="15">
        <f>AVERAGE(D4:D15)</f>
        <v>32993.833333333336</v>
      </c>
      <c r="F16" s="16"/>
      <c r="G16" s="16"/>
      <c r="H16" s="16"/>
      <c r="I16" s="15">
        <f t="shared" si="0"/>
        <v>32907.9</v>
      </c>
    </row>
    <row r="17" spans="1:9" x14ac:dyDescent="0.3">
      <c r="A17" s="4">
        <v>40575</v>
      </c>
      <c r="B17" s="5">
        <v>14</v>
      </c>
      <c r="C17" s="5" t="s">
        <v>4</v>
      </c>
      <c r="D17" s="6">
        <v>31977</v>
      </c>
      <c r="E17" s="15">
        <f t="shared" ref="E17:E80" si="1">AVERAGE(D5:D16)</f>
        <v>33100.666666666664</v>
      </c>
      <c r="F17" s="16"/>
      <c r="G17" s="16"/>
      <c r="H17" s="16"/>
      <c r="I17" s="15">
        <f t="shared" si="0"/>
        <v>32533.200000000001</v>
      </c>
    </row>
    <row r="18" spans="1:9" x14ac:dyDescent="0.3">
      <c r="A18" s="4">
        <v>40603</v>
      </c>
      <c r="B18" s="5">
        <v>15</v>
      </c>
      <c r="C18" s="5" t="s">
        <v>5</v>
      </c>
      <c r="D18" s="6">
        <v>35968</v>
      </c>
      <c r="E18" s="15">
        <f t="shared" si="1"/>
        <v>33259.083333333336</v>
      </c>
      <c r="F18" s="16"/>
      <c r="G18" s="16"/>
      <c r="H18" s="16"/>
      <c r="I18" s="15">
        <f t="shared" si="0"/>
        <v>32245.8</v>
      </c>
    </row>
    <row r="19" spans="1:9" x14ac:dyDescent="0.3">
      <c r="A19" s="4">
        <v>40634</v>
      </c>
      <c r="B19" s="5">
        <v>16</v>
      </c>
      <c r="C19" s="5" t="s">
        <v>6</v>
      </c>
      <c r="D19" s="6">
        <v>35427</v>
      </c>
      <c r="E19" s="15">
        <f t="shared" si="1"/>
        <v>33452.666666666664</v>
      </c>
      <c r="F19" s="16"/>
      <c r="G19" s="16"/>
      <c r="H19" s="16"/>
      <c r="I19" s="15">
        <f t="shared" si="0"/>
        <v>33717.800000000003</v>
      </c>
    </row>
    <row r="20" spans="1:9" x14ac:dyDescent="0.3">
      <c r="A20" s="4">
        <v>40664</v>
      </c>
      <c r="B20" s="5">
        <v>17</v>
      </c>
      <c r="C20" s="5" t="s">
        <v>7</v>
      </c>
      <c r="D20" s="6">
        <v>36626</v>
      </c>
      <c r="E20" s="15">
        <f t="shared" si="1"/>
        <v>33631</v>
      </c>
      <c r="F20" s="16"/>
      <c r="G20" s="16"/>
      <c r="H20" s="16"/>
      <c r="I20" s="15">
        <f t="shared" si="0"/>
        <v>34532.9</v>
      </c>
    </row>
    <row r="21" spans="1:9" x14ac:dyDescent="0.3">
      <c r="A21" s="4">
        <v>40695</v>
      </c>
      <c r="B21" s="5">
        <v>18</v>
      </c>
      <c r="C21" s="5" t="s">
        <v>8</v>
      </c>
      <c r="D21" s="6">
        <v>35886</v>
      </c>
      <c r="E21" s="15">
        <f t="shared" si="1"/>
        <v>33797.916666666664</v>
      </c>
      <c r="F21" s="16"/>
      <c r="G21" s="16"/>
      <c r="H21" s="16"/>
      <c r="I21" s="15">
        <f t="shared" si="0"/>
        <v>35669.799999999996</v>
      </c>
    </row>
    <row r="22" spans="1:9" x14ac:dyDescent="0.3">
      <c r="A22" s="4">
        <v>40725</v>
      </c>
      <c r="B22" s="5">
        <v>19</v>
      </c>
      <c r="C22" s="5" t="s">
        <v>9</v>
      </c>
      <c r="D22" s="6">
        <v>37246</v>
      </c>
      <c r="E22" s="15">
        <f t="shared" si="1"/>
        <v>33988.833333333336</v>
      </c>
      <c r="F22" s="16"/>
      <c r="G22" s="16"/>
      <c r="H22" s="16"/>
      <c r="I22" s="15">
        <f t="shared" si="0"/>
        <v>36024.400000000001</v>
      </c>
    </row>
    <row r="23" spans="1:9" x14ac:dyDescent="0.3">
      <c r="A23" s="4">
        <v>40756</v>
      </c>
      <c r="B23" s="5">
        <v>20</v>
      </c>
      <c r="C23" s="5" t="s">
        <v>10</v>
      </c>
      <c r="D23" s="6">
        <v>36459</v>
      </c>
      <c r="E23" s="15">
        <f t="shared" si="1"/>
        <v>34170.833333333336</v>
      </c>
      <c r="F23" s="16"/>
      <c r="G23" s="16"/>
      <c r="H23" s="16"/>
      <c r="I23" s="15">
        <f t="shared" si="0"/>
        <v>36532.1</v>
      </c>
    </row>
    <row r="24" spans="1:9" x14ac:dyDescent="0.3">
      <c r="A24" s="4">
        <v>40787</v>
      </c>
      <c r="B24" s="5">
        <v>21</v>
      </c>
      <c r="C24" s="5" t="s">
        <v>11</v>
      </c>
      <c r="D24" s="6">
        <v>34635</v>
      </c>
      <c r="E24" s="15">
        <f t="shared" si="1"/>
        <v>34345.916666666664</v>
      </c>
      <c r="F24" s="16"/>
      <c r="G24" s="16"/>
      <c r="H24" s="16"/>
      <c r="I24" s="15">
        <f t="shared" si="0"/>
        <v>36597.200000000004</v>
      </c>
    </row>
    <row r="25" spans="1:9" x14ac:dyDescent="0.3">
      <c r="A25" s="4">
        <v>40817</v>
      </c>
      <c r="B25" s="5">
        <v>22</v>
      </c>
      <c r="C25" s="5" t="s">
        <v>12</v>
      </c>
      <c r="D25" s="6">
        <v>35636</v>
      </c>
      <c r="E25" s="15">
        <f t="shared" si="1"/>
        <v>34583.833333333336</v>
      </c>
      <c r="F25" s="16"/>
      <c r="G25" s="16"/>
      <c r="H25" s="16"/>
      <c r="I25" s="15">
        <f t="shared" si="0"/>
        <v>35829.5</v>
      </c>
    </row>
    <row r="26" spans="1:9" x14ac:dyDescent="0.3">
      <c r="A26" s="4">
        <v>40848</v>
      </c>
      <c r="B26" s="5">
        <v>23</v>
      </c>
      <c r="C26" s="5" t="s">
        <v>13</v>
      </c>
      <c r="D26" s="6">
        <v>33583</v>
      </c>
      <c r="E26" s="15">
        <f t="shared" si="1"/>
        <v>34752.916666666664</v>
      </c>
      <c r="F26" s="16"/>
      <c r="G26" s="16"/>
      <c r="H26" s="16"/>
      <c r="I26" s="15">
        <f t="shared" si="0"/>
        <v>35661.300000000003</v>
      </c>
    </row>
    <row r="27" spans="1:9" x14ac:dyDescent="0.3">
      <c r="A27" s="4">
        <v>40878</v>
      </c>
      <c r="B27" s="5">
        <v>24</v>
      </c>
      <c r="C27" s="5" t="s">
        <v>14</v>
      </c>
      <c r="D27" s="6">
        <v>36789</v>
      </c>
      <c r="E27" s="15">
        <f t="shared" si="1"/>
        <v>34921.25</v>
      </c>
      <c r="F27" s="16"/>
      <c r="G27" s="16"/>
      <c r="H27" s="16"/>
      <c r="I27" s="15">
        <f t="shared" si="0"/>
        <v>34696.9</v>
      </c>
    </row>
    <row r="28" spans="1:9" x14ac:dyDescent="0.3">
      <c r="A28" s="4">
        <v>40909</v>
      </c>
      <c r="B28" s="5">
        <v>25</v>
      </c>
      <c r="C28" s="5" t="s">
        <v>3</v>
      </c>
      <c r="D28" s="6">
        <v>34091</v>
      </c>
      <c r="E28" s="15">
        <f t="shared" si="1"/>
        <v>35166.25</v>
      </c>
      <c r="F28" s="16"/>
      <c r="G28" s="16"/>
      <c r="H28" s="16"/>
      <c r="I28" s="15">
        <f t="shared" si="0"/>
        <v>35381.199999999997</v>
      </c>
    </row>
    <row r="29" spans="1:9" x14ac:dyDescent="0.3">
      <c r="A29" s="4">
        <v>40940</v>
      </c>
      <c r="B29" s="5">
        <v>26</v>
      </c>
      <c r="C29" s="5" t="s">
        <v>4</v>
      </c>
      <c r="D29" s="6">
        <v>35042</v>
      </c>
      <c r="E29" s="15">
        <f t="shared" si="1"/>
        <v>35360.25</v>
      </c>
      <c r="F29" s="16"/>
      <c r="G29" s="16"/>
      <c r="H29" s="16"/>
      <c r="I29" s="15">
        <f t="shared" si="0"/>
        <v>34953.299999999996</v>
      </c>
    </row>
    <row r="30" spans="1:9" x14ac:dyDescent="0.3">
      <c r="A30" s="4">
        <v>40969</v>
      </c>
      <c r="B30" s="5">
        <v>27</v>
      </c>
      <c r="C30" s="5" t="s">
        <v>5</v>
      </c>
      <c r="D30" s="6">
        <v>39045</v>
      </c>
      <c r="E30" s="15">
        <f t="shared" si="1"/>
        <v>35615.666666666664</v>
      </c>
      <c r="F30" s="16"/>
      <c r="G30" s="16"/>
      <c r="H30" s="16"/>
      <c r="I30" s="15">
        <f t="shared" si="0"/>
        <v>34960.199999999997</v>
      </c>
    </row>
    <row r="31" spans="1:9" x14ac:dyDescent="0.3">
      <c r="A31" s="4">
        <v>41000</v>
      </c>
      <c r="B31" s="5">
        <v>28</v>
      </c>
      <c r="C31" s="5" t="s">
        <v>6</v>
      </c>
      <c r="D31" s="6">
        <v>37143</v>
      </c>
      <c r="E31" s="15">
        <f t="shared" si="1"/>
        <v>35872.083333333336</v>
      </c>
      <c r="F31" s="16"/>
      <c r="G31" s="16"/>
      <c r="H31" s="16"/>
      <c r="I31" s="15">
        <f t="shared" si="0"/>
        <v>36627.700000000004</v>
      </c>
    </row>
    <row r="32" spans="1:9" x14ac:dyDescent="0.3">
      <c r="A32" s="4">
        <v>41030</v>
      </c>
      <c r="B32" s="5">
        <v>29</v>
      </c>
      <c r="C32" s="5" t="s">
        <v>7</v>
      </c>
      <c r="D32" s="6">
        <v>38591</v>
      </c>
      <c r="E32" s="15">
        <f t="shared" si="1"/>
        <v>36015.083333333336</v>
      </c>
      <c r="F32" s="16"/>
      <c r="G32" s="16"/>
      <c r="H32" s="16"/>
      <c r="I32" s="15">
        <f t="shared" si="0"/>
        <v>36988.199999999997</v>
      </c>
    </row>
    <row r="33" spans="1:9" x14ac:dyDescent="0.3">
      <c r="A33" s="4">
        <v>41061</v>
      </c>
      <c r="B33" s="5">
        <v>30</v>
      </c>
      <c r="C33" s="5" t="s">
        <v>8</v>
      </c>
      <c r="D33" s="6">
        <v>38401</v>
      </c>
      <c r="E33" s="15">
        <f t="shared" si="1"/>
        <v>36178.833333333336</v>
      </c>
      <c r="F33" s="16"/>
      <c r="G33" s="16"/>
      <c r="H33" s="16"/>
      <c r="I33" s="15">
        <f t="shared" si="0"/>
        <v>37892.5</v>
      </c>
    </row>
    <row r="34" spans="1:9" x14ac:dyDescent="0.3">
      <c r="A34" s="4">
        <v>41091</v>
      </c>
      <c r="B34" s="5">
        <v>31</v>
      </c>
      <c r="C34" s="5" t="s">
        <v>9</v>
      </c>
      <c r="D34" s="6">
        <v>38488</v>
      </c>
      <c r="E34" s="15">
        <f t="shared" si="1"/>
        <v>36388.416666666664</v>
      </c>
      <c r="F34" s="16"/>
      <c r="G34" s="16"/>
      <c r="H34" s="16"/>
      <c r="I34" s="15">
        <f t="shared" si="0"/>
        <v>38270.800000000003</v>
      </c>
    </row>
    <row r="35" spans="1:9" x14ac:dyDescent="0.3">
      <c r="A35" s="4">
        <v>41122</v>
      </c>
      <c r="B35" s="5">
        <v>32</v>
      </c>
      <c r="C35" s="5" t="s">
        <v>10</v>
      </c>
      <c r="D35" s="6">
        <v>38611</v>
      </c>
      <c r="E35" s="15">
        <f t="shared" si="1"/>
        <v>36491.916666666664</v>
      </c>
      <c r="F35" s="16"/>
      <c r="G35" s="16"/>
      <c r="H35" s="16"/>
      <c r="I35" s="15">
        <f t="shared" si="0"/>
        <v>38348</v>
      </c>
    </row>
    <row r="36" spans="1:9" x14ac:dyDescent="0.3">
      <c r="A36" s="4">
        <v>41153</v>
      </c>
      <c r="B36" s="5">
        <v>33</v>
      </c>
      <c r="C36" s="5" t="s">
        <v>11</v>
      </c>
      <c r="D36" s="6">
        <v>36080</v>
      </c>
      <c r="E36" s="15">
        <f t="shared" si="1"/>
        <v>36671.25</v>
      </c>
      <c r="F36" s="16"/>
      <c r="G36" s="16"/>
      <c r="H36" s="16"/>
      <c r="I36" s="15">
        <f t="shared" si="0"/>
        <v>38530.1</v>
      </c>
    </row>
    <row r="37" spans="1:9" x14ac:dyDescent="0.3">
      <c r="A37" s="4">
        <v>41183</v>
      </c>
      <c r="B37" s="5">
        <v>34</v>
      </c>
      <c r="C37" s="5" t="s">
        <v>12</v>
      </c>
      <c r="D37" s="6">
        <v>36782</v>
      </c>
      <c r="E37" s="15">
        <f t="shared" si="1"/>
        <v>36791.666666666664</v>
      </c>
      <c r="F37" s="16"/>
      <c r="G37" s="16"/>
      <c r="H37" s="16"/>
      <c r="I37" s="15">
        <f t="shared" si="0"/>
        <v>37553</v>
      </c>
    </row>
    <row r="38" spans="1:9" x14ac:dyDescent="0.3">
      <c r="A38" s="4">
        <v>41214</v>
      </c>
      <c r="B38" s="5">
        <v>35</v>
      </c>
      <c r="C38" s="5" t="s">
        <v>13</v>
      </c>
      <c r="D38" s="6">
        <v>36087</v>
      </c>
      <c r="E38" s="15">
        <f t="shared" si="1"/>
        <v>36887.166666666664</v>
      </c>
      <c r="F38" s="16"/>
      <c r="G38" s="16"/>
      <c r="H38" s="16"/>
      <c r="I38" s="15">
        <f t="shared" si="0"/>
        <v>37107.800000000003</v>
      </c>
    </row>
    <row r="39" spans="1:9" x14ac:dyDescent="0.3">
      <c r="A39" s="4">
        <v>41244</v>
      </c>
      <c r="B39" s="5">
        <v>36</v>
      </c>
      <c r="C39" s="5" t="s">
        <v>14</v>
      </c>
      <c r="D39" s="6">
        <v>38982</v>
      </c>
      <c r="E39" s="15">
        <f t="shared" si="1"/>
        <v>37095.833333333336</v>
      </c>
      <c r="F39" s="16"/>
      <c r="G39" s="16"/>
      <c r="H39" s="16"/>
      <c r="I39" s="15">
        <f t="shared" si="0"/>
        <v>36546.5</v>
      </c>
    </row>
    <row r="40" spans="1:9" x14ac:dyDescent="0.3">
      <c r="A40" s="4">
        <v>41275</v>
      </c>
      <c r="B40" s="5">
        <v>37</v>
      </c>
      <c r="C40" s="5" t="s">
        <v>3</v>
      </c>
      <c r="D40" s="6">
        <v>36033</v>
      </c>
      <c r="E40" s="15">
        <f t="shared" si="1"/>
        <v>37278.583333333336</v>
      </c>
      <c r="F40" s="16"/>
      <c r="G40" s="16"/>
      <c r="H40" s="16"/>
      <c r="I40" s="15">
        <f t="shared" si="0"/>
        <v>37383.300000000003</v>
      </c>
    </row>
    <row r="41" spans="1:9" x14ac:dyDescent="0.3">
      <c r="A41" s="4">
        <v>41306</v>
      </c>
      <c r="B41" s="5">
        <v>38</v>
      </c>
      <c r="C41" s="5" t="s">
        <v>4</v>
      </c>
      <c r="D41" s="6">
        <v>35608</v>
      </c>
      <c r="E41" s="15">
        <f t="shared" si="1"/>
        <v>37440.416666666664</v>
      </c>
      <c r="F41" s="16"/>
      <c r="G41" s="16"/>
      <c r="H41" s="16"/>
      <c r="I41" s="15">
        <f t="shared" si="0"/>
        <v>37003.4</v>
      </c>
    </row>
    <row r="42" spans="1:9" x14ac:dyDescent="0.3">
      <c r="A42" s="4">
        <v>41334</v>
      </c>
      <c r="B42" s="5">
        <v>39</v>
      </c>
      <c r="C42" s="5" t="s">
        <v>5</v>
      </c>
      <c r="D42" s="6">
        <v>40955</v>
      </c>
      <c r="E42" s="15">
        <f t="shared" si="1"/>
        <v>37487.583333333336</v>
      </c>
      <c r="F42" s="16"/>
      <c r="G42" s="16"/>
      <c r="H42" s="16"/>
      <c r="I42" s="15">
        <f t="shared" si="0"/>
        <v>36458.199999999997</v>
      </c>
    </row>
    <row r="43" spans="1:9" x14ac:dyDescent="0.3">
      <c r="A43" s="4">
        <v>41365</v>
      </c>
      <c r="B43" s="5">
        <v>40</v>
      </c>
      <c r="C43" s="5" t="s">
        <v>6</v>
      </c>
      <c r="D43" s="6">
        <v>38810</v>
      </c>
      <c r="E43" s="15">
        <f t="shared" si="1"/>
        <v>37646.75</v>
      </c>
      <c r="F43" s="16"/>
      <c r="G43" s="16"/>
      <c r="H43" s="16"/>
      <c r="I43" s="15">
        <f t="shared" si="0"/>
        <v>38169.199999999997</v>
      </c>
    </row>
    <row r="44" spans="1:9" x14ac:dyDescent="0.3">
      <c r="A44" s="4">
        <v>41395</v>
      </c>
      <c r="B44" s="5">
        <v>41</v>
      </c>
      <c r="C44" s="5" t="s">
        <v>7</v>
      </c>
      <c r="D44" s="6">
        <v>40685</v>
      </c>
      <c r="E44" s="15">
        <f t="shared" si="1"/>
        <v>37785.666666666664</v>
      </c>
      <c r="F44" s="16"/>
      <c r="G44" s="16"/>
      <c r="H44" s="16"/>
      <c r="I44" s="15">
        <f t="shared" si="0"/>
        <v>38535.4</v>
      </c>
    </row>
    <row r="45" spans="1:9" x14ac:dyDescent="0.3">
      <c r="A45" s="4">
        <v>41426</v>
      </c>
      <c r="B45" s="5">
        <v>42</v>
      </c>
      <c r="C45" s="5" t="s">
        <v>8</v>
      </c>
      <c r="D45" s="6">
        <v>39421</v>
      </c>
      <c r="E45" s="15">
        <f t="shared" si="1"/>
        <v>37960.166666666664</v>
      </c>
      <c r="F45" s="16"/>
      <c r="G45" s="16"/>
      <c r="H45" s="16"/>
      <c r="I45" s="15">
        <f t="shared" si="0"/>
        <v>39668.800000000003</v>
      </c>
    </row>
    <row r="46" spans="1:9" x14ac:dyDescent="0.3">
      <c r="A46" s="4">
        <v>41456</v>
      </c>
      <c r="B46" s="5">
        <v>43</v>
      </c>
      <c r="C46" s="5" t="s">
        <v>9</v>
      </c>
      <c r="D46" s="6">
        <v>39610</v>
      </c>
      <c r="E46" s="15">
        <f t="shared" si="1"/>
        <v>38045.166666666664</v>
      </c>
      <c r="F46" s="16"/>
      <c r="G46" s="16"/>
      <c r="H46" s="16"/>
      <c r="I46" s="15">
        <f t="shared" si="0"/>
        <v>39831.4</v>
      </c>
    </row>
    <row r="47" spans="1:9" x14ac:dyDescent="0.3">
      <c r="A47" s="4">
        <v>41487</v>
      </c>
      <c r="B47" s="5">
        <v>44</v>
      </c>
      <c r="C47" s="5" t="s">
        <v>10</v>
      </c>
      <c r="D47" s="6">
        <v>34314</v>
      </c>
      <c r="E47" s="15">
        <f t="shared" si="1"/>
        <v>38138.666666666664</v>
      </c>
      <c r="F47" s="16"/>
      <c r="G47" s="16"/>
      <c r="H47" s="16"/>
      <c r="I47" s="15">
        <f t="shared" si="0"/>
        <v>39688.300000000003</v>
      </c>
    </row>
    <row r="48" spans="1:9" x14ac:dyDescent="0.3">
      <c r="A48" s="4">
        <v>41518</v>
      </c>
      <c r="B48" s="5">
        <v>45</v>
      </c>
      <c r="C48" s="5" t="s">
        <v>11</v>
      </c>
      <c r="D48" s="6">
        <v>36907</v>
      </c>
      <c r="E48" s="15">
        <f t="shared" si="1"/>
        <v>37780.583333333336</v>
      </c>
      <c r="F48" s="16"/>
      <c r="G48" s="16"/>
      <c r="H48" s="16"/>
      <c r="I48" s="15">
        <f t="shared" si="0"/>
        <v>37561.300000000003</v>
      </c>
    </row>
    <row r="49" spans="1:9" x14ac:dyDescent="0.3">
      <c r="A49" s="4">
        <v>41548</v>
      </c>
      <c r="B49" s="5">
        <v>46</v>
      </c>
      <c r="C49" s="5" t="s">
        <v>12</v>
      </c>
      <c r="D49" s="6">
        <v>38790</v>
      </c>
      <c r="E49" s="15">
        <f t="shared" si="1"/>
        <v>37849.5</v>
      </c>
      <c r="F49" s="16"/>
      <c r="G49" s="16"/>
      <c r="H49" s="16"/>
      <c r="I49" s="15">
        <f t="shared" si="0"/>
        <v>36921.1</v>
      </c>
    </row>
    <row r="50" spans="1:9" x14ac:dyDescent="0.3">
      <c r="A50" s="4">
        <v>41579</v>
      </c>
      <c r="B50" s="5">
        <v>47</v>
      </c>
      <c r="C50" s="5" t="s">
        <v>13</v>
      </c>
      <c r="D50" s="6">
        <v>38475</v>
      </c>
      <c r="E50" s="15">
        <f t="shared" si="1"/>
        <v>38016.833333333336</v>
      </c>
      <c r="F50" s="16"/>
      <c r="G50" s="16"/>
      <c r="H50" s="16"/>
      <c r="I50" s="15">
        <f t="shared" si="0"/>
        <v>37411.9</v>
      </c>
    </row>
    <row r="51" spans="1:9" x14ac:dyDescent="0.3">
      <c r="A51" s="4">
        <v>41609</v>
      </c>
      <c r="B51" s="5">
        <v>48</v>
      </c>
      <c r="C51" s="5" t="s">
        <v>14</v>
      </c>
      <c r="D51" s="6">
        <v>40147</v>
      </c>
      <c r="E51" s="15">
        <f t="shared" si="1"/>
        <v>38215.833333333336</v>
      </c>
      <c r="F51" s="16"/>
      <c r="G51" s="16"/>
      <c r="H51" s="16"/>
      <c r="I51" s="15">
        <f t="shared" si="0"/>
        <v>37839.800000000003</v>
      </c>
    </row>
    <row r="52" spans="1:9" x14ac:dyDescent="0.3">
      <c r="A52" s="4">
        <v>41640</v>
      </c>
      <c r="B52" s="5">
        <v>49</v>
      </c>
      <c r="C52" s="5" t="s">
        <v>3</v>
      </c>
      <c r="D52" s="6">
        <v>37121</v>
      </c>
      <c r="E52" s="15">
        <f t="shared" si="1"/>
        <v>38312.916666666664</v>
      </c>
      <c r="F52" s="16"/>
      <c r="G52" s="16"/>
      <c r="H52" s="16"/>
      <c r="I52" s="15">
        <f t="shared" si="0"/>
        <v>39050</v>
      </c>
    </row>
    <row r="53" spans="1:9" x14ac:dyDescent="0.3">
      <c r="A53" s="4">
        <v>41671</v>
      </c>
      <c r="B53" s="5">
        <v>50</v>
      </c>
      <c r="C53" s="5" t="s">
        <v>4</v>
      </c>
      <c r="D53" s="6">
        <v>36887</v>
      </c>
      <c r="E53" s="15">
        <f t="shared" si="1"/>
        <v>38403.583333333336</v>
      </c>
      <c r="F53" s="16"/>
      <c r="G53" s="16"/>
      <c r="H53" s="16"/>
      <c r="I53" s="15">
        <f t="shared" si="0"/>
        <v>38466.5</v>
      </c>
    </row>
    <row r="54" spans="1:9" x14ac:dyDescent="0.3">
      <c r="A54" s="4">
        <v>41699</v>
      </c>
      <c r="B54" s="5">
        <v>51</v>
      </c>
      <c r="C54" s="5" t="s">
        <v>5</v>
      </c>
      <c r="D54" s="6">
        <v>42689</v>
      </c>
      <c r="E54" s="15">
        <f t="shared" si="1"/>
        <v>38510.166666666664</v>
      </c>
      <c r="F54" s="16"/>
      <c r="G54" s="16"/>
      <c r="H54" s="16"/>
      <c r="I54" s="15">
        <f t="shared" si="0"/>
        <v>37768</v>
      </c>
    </row>
    <row r="55" spans="1:9" x14ac:dyDescent="0.3">
      <c r="A55" s="4">
        <v>41730</v>
      </c>
      <c r="B55" s="5">
        <v>52</v>
      </c>
      <c r="C55" s="5" t="s">
        <v>6</v>
      </c>
      <c r="D55" s="6">
        <v>40953</v>
      </c>
      <c r="E55" s="15">
        <f t="shared" si="1"/>
        <v>38654.666666666664</v>
      </c>
      <c r="F55" s="16"/>
      <c r="G55" s="16"/>
      <c r="H55" s="16"/>
      <c r="I55" s="15">
        <f t="shared" si="0"/>
        <v>39580.600000000006</v>
      </c>
    </row>
    <row r="56" spans="1:9" x14ac:dyDescent="0.3">
      <c r="A56" s="4">
        <v>41760</v>
      </c>
      <c r="B56" s="5">
        <v>53</v>
      </c>
      <c r="C56" s="5" t="s">
        <v>7</v>
      </c>
      <c r="D56" s="6">
        <v>43854</v>
      </c>
      <c r="E56" s="15">
        <f t="shared" si="1"/>
        <v>38833.25</v>
      </c>
      <c r="F56" s="16"/>
      <c r="G56" s="16"/>
      <c r="H56" s="16"/>
      <c r="I56" s="15">
        <f t="shared" si="0"/>
        <v>40277.4</v>
      </c>
    </row>
    <row r="57" spans="1:9" x14ac:dyDescent="0.3">
      <c r="A57" s="4">
        <v>41791</v>
      </c>
      <c r="B57" s="5">
        <v>54</v>
      </c>
      <c r="C57" s="5" t="s">
        <v>8</v>
      </c>
      <c r="D57" s="6">
        <v>41589</v>
      </c>
      <c r="E57" s="15">
        <f t="shared" si="1"/>
        <v>39097.333333333336</v>
      </c>
      <c r="F57" s="16"/>
      <c r="G57" s="16"/>
      <c r="H57" s="16"/>
      <c r="I57" s="15">
        <f t="shared" si="0"/>
        <v>42054</v>
      </c>
    </row>
    <row r="58" spans="1:9" x14ac:dyDescent="0.3">
      <c r="A58" s="4">
        <v>41821</v>
      </c>
      <c r="B58" s="5">
        <v>55</v>
      </c>
      <c r="C58" s="5" t="s">
        <v>9</v>
      </c>
      <c r="D58" s="6">
        <v>42450</v>
      </c>
      <c r="E58" s="15">
        <f t="shared" si="1"/>
        <v>39278</v>
      </c>
      <c r="F58" s="16"/>
      <c r="G58" s="16"/>
      <c r="H58" s="16"/>
      <c r="I58" s="15">
        <f t="shared" si="0"/>
        <v>42251.3</v>
      </c>
    </row>
    <row r="59" spans="1:9" x14ac:dyDescent="0.3">
      <c r="A59" s="4">
        <v>41852</v>
      </c>
      <c r="B59" s="5">
        <v>56</v>
      </c>
      <c r="C59" s="5" t="s">
        <v>10</v>
      </c>
      <c r="D59" s="6">
        <v>43528</v>
      </c>
      <c r="E59" s="15">
        <f t="shared" si="1"/>
        <v>39514.666666666664</v>
      </c>
      <c r="F59" s="16"/>
      <c r="G59" s="16"/>
      <c r="H59" s="16"/>
      <c r="I59" s="15">
        <f t="shared" si="0"/>
        <v>42322.8</v>
      </c>
    </row>
    <row r="60" spans="1:9" x14ac:dyDescent="0.3">
      <c r="A60" s="4">
        <v>41883</v>
      </c>
      <c r="B60" s="5">
        <v>57</v>
      </c>
      <c r="C60" s="5" t="s">
        <v>11</v>
      </c>
      <c r="D60" s="6">
        <v>39935</v>
      </c>
      <c r="E60" s="15">
        <f t="shared" si="1"/>
        <v>40282.5</v>
      </c>
      <c r="F60" s="16"/>
      <c r="G60" s="16"/>
      <c r="H60" s="16"/>
      <c r="I60" s="15">
        <f t="shared" si="0"/>
        <v>42849.4</v>
      </c>
    </row>
    <row r="61" spans="1:9" x14ac:dyDescent="0.3">
      <c r="A61" s="4">
        <v>41913</v>
      </c>
      <c r="B61" s="5">
        <v>58</v>
      </c>
      <c r="C61" s="5" t="s">
        <v>12</v>
      </c>
      <c r="D61" s="6">
        <v>42574</v>
      </c>
      <c r="E61" s="15">
        <f t="shared" si="1"/>
        <v>40534.833333333336</v>
      </c>
      <c r="F61" s="16"/>
      <c r="G61" s="16"/>
      <c r="H61" s="16"/>
      <c r="I61" s="15">
        <f t="shared" si="0"/>
        <v>41681.300000000003</v>
      </c>
    </row>
    <row r="62" spans="1:9" x14ac:dyDescent="0.3">
      <c r="A62" s="4">
        <v>41944</v>
      </c>
      <c r="B62" s="5">
        <v>59</v>
      </c>
      <c r="C62" s="5" t="s">
        <v>13</v>
      </c>
      <c r="D62" s="6">
        <v>40864</v>
      </c>
      <c r="E62" s="15">
        <f t="shared" si="1"/>
        <v>40850.166666666664</v>
      </c>
      <c r="F62" s="16"/>
      <c r="G62" s="16"/>
      <c r="H62" s="16"/>
      <c r="I62" s="15">
        <f t="shared" si="0"/>
        <v>41960.700000000004</v>
      </c>
    </row>
    <row r="63" spans="1:9" x14ac:dyDescent="0.3">
      <c r="A63" s="4">
        <v>41974</v>
      </c>
      <c r="B63" s="5">
        <v>60</v>
      </c>
      <c r="C63" s="5" t="s">
        <v>14</v>
      </c>
      <c r="D63" s="6">
        <v>44196</v>
      </c>
      <c r="E63" s="15">
        <f t="shared" si="1"/>
        <v>41049.25</v>
      </c>
      <c r="F63" s="16"/>
      <c r="G63" s="16"/>
      <c r="H63" s="16"/>
      <c r="I63" s="15">
        <f t="shared" si="0"/>
        <v>41457.600000000006</v>
      </c>
    </row>
    <row r="64" spans="1:9" x14ac:dyDescent="0.3">
      <c r="A64" s="4">
        <v>42005</v>
      </c>
      <c r="B64" s="5">
        <v>61</v>
      </c>
      <c r="C64" s="5" t="s">
        <v>3</v>
      </c>
      <c r="D64" s="6">
        <v>41784</v>
      </c>
      <c r="E64" s="15">
        <f t="shared" si="1"/>
        <v>41386.666666666664</v>
      </c>
      <c r="F64" s="16"/>
      <c r="G64" s="16"/>
      <c r="H64" s="16"/>
      <c r="I64" s="15">
        <f t="shared" si="0"/>
        <v>42445.9</v>
      </c>
    </row>
    <row r="65" spans="1:9" x14ac:dyDescent="0.3">
      <c r="A65" s="4">
        <v>42036</v>
      </c>
      <c r="B65" s="5">
        <v>62</v>
      </c>
      <c r="C65" s="5" t="s">
        <v>4</v>
      </c>
      <c r="D65" s="6">
        <v>40337</v>
      </c>
      <c r="E65" s="15">
        <f t="shared" si="1"/>
        <v>41775.25</v>
      </c>
      <c r="F65" s="16"/>
      <c r="G65" s="16"/>
      <c r="H65" s="16"/>
      <c r="I65" s="15">
        <f t="shared" si="0"/>
        <v>42402.600000000006</v>
      </c>
    </row>
    <row r="66" spans="1:9" x14ac:dyDescent="0.3">
      <c r="A66" s="4">
        <v>42064</v>
      </c>
      <c r="B66" s="5">
        <v>63</v>
      </c>
      <c r="C66" s="5" t="s">
        <v>5</v>
      </c>
      <c r="D66" s="6">
        <v>46307</v>
      </c>
      <c r="E66" s="15">
        <f t="shared" si="1"/>
        <v>42062.75</v>
      </c>
      <c r="F66" s="16"/>
      <c r="G66" s="16"/>
      <c r="H66" s="16"/>
      <c r="I66" s="15">
        <f t="shared" si="0"/>
        <v>41595.599999999999</v>
      </c>
    </row>
    <row r="67" spans="1:9" x14ac:dyDescent="0.3">
      <c r="A67" s="4">
        <v>42095</v>
      </c>
      <c r="B67" s="5">
        <v>64</v>
      </c>
      <c r="C67" s="5" t="s">
        <v>6</v>
      </c>
      <c r="D67" s="6">
        <v>45094</v>
      </c>
      <c r="E67" s="15">
        <f t="shared" si="1"/>
        <v>42364.25</v>
      </c>
      <c r="F67" s="16"/>
      <c r="G67" s="16"/>
      <c r="H67" s="16"/>
      <c r="I67" s="15">
        <f t="shared" si="0"/>
        <v>43400.3</v>
      </c>
    </row>
    <row r="68" spans="1:9" x14ac:dyDescent="0.3">
      <c r="A68" s="4">
        <v>42125</v>
      </c>
      <c r="B68" s="5">
        <v>65</v>
      </c>
      <c r="C68" s="5" t="s">
        <v>7</v>
      </c>
      <c r="D68" s="6">
        <v>48077</v>
      </c>
      <c r="E68" s="15">
        <f t="shared" si="1"/>
        <v>42709.333333333336</v>
      </c>
      <c r="F68" s="16"/>
      <c r="G68" s="16"/>
      <c r="H68" s="16"/>
      <c r="I68" s="15">
        <f t="shared" si="0"/>
        <v>44175.500000000007</v>
      </c>
    </row>
    <row r="69" spans="1:9" x14ac:dyDescent="0.3">
      <c r="A69" s="4">
        <v>42156</v>
      </c>
      <c r="B69" s="5">
        <v>66</v>
      </c>
      <c r="C69" s="5" t="s">
        <v>8</v>
      </c>
      <c r="D69" s="6">
        <v>45461</v>
      </c>
      <c r="E69" s="15">
        <f t="shared" si="1"/>
        <v>43061.25</v>
      </c>
      <c r="F69" s="16"/>
      <c r="G69" s="16"/>
      <c r="H69" s="16"/>
      <c r="I69" s="15">
        <f t="shared" si="0"/>
        <v>46054.1</v>
      </c>
    </row>
    <row r="70" spans="1:9" x14ac:dyDescent="0.3">
      <c r="A70" s="4">
        <v>42186</v>
      </c>
      <c r="B70" s="5">
        <v>67</v>
      </c>
      <c r="C70" s="5" t="s">
        <v>9</v>
      </c>
      <c r="D70" s="6">
        <v>46408</v>
      </c>
      <c r="E70" s="15">
        <f t="shared" si="1"/>
        <v>43383.916666666664</v>
      </c>
      <c r="F70" s="16"/>
      <c r="G70" s="16"/>
      <c r="H70" s="16"/>
      <c r="I70" s="15">
        <f t="shared" si="0"/>
        <v>46257</v>
      </c>
    </row>
    <row r="71" spans="1:9" x14ac:dyDescent="0.3">
      <c r="A71" s="4">
        <v>42217</v>
      </c>
      <c r="B71" s="5">
        <v>68</v>
      </c>
      <c r="C71" s="5" t="s">
        <v>10</v>
      </c>
      <c r="D71" s="6">
        <v>46225</v>
      </c>
      <c r="E71" s="15">
        <f t="shared" si="1"/>
        <v>43713.75</v>
      </c>
      <c r="F71" s="16"/>
      <c r="G71" s="16"/>
      <c r="H71" s="16"/>
      <c r="I71" s="15">
        <f t="shared" si="0"/>
        <v>46326.3</v>
      </c>
    </row>
    <row r="72" spans="1:9" x14ac:dyDescent="0.3">
      <c r="A72" s="4">
        <v>42248</v>
      </c>
      <c r="B72" s="5">
        <v>69</v>
      </c>
      <c r="C72" s="5" t="s">
        <v>11</v>
      </c>
      <c r="D72" s="6">
        <v>43024</v>
      </c>
      <c r="E72" s="15">
        <f t="shared" si="1"/>
        <v>43938.5</v>
      </c>
      <c r="F72" s="16"/>
      <c r="G72" s="16"/>
      <c r="H72" s="16"/>
      <c r="I72" s="15">
        <f t="shared" si="0"/>
        <v>46312.3</v>
      </c>
    </row>
    <row r="73" spans="1:9" x14ac:dyDescent="0.3">
      <c r="A73" s="4">
        <v>42278</v>
      </c>
      <c r="B73" s="5">
        <v>70</v>
      </c>
      <c r="C73" s="5" t="s">
        <v>12</v>
      </c>
      <c r="D73" s="6">
        <v>45883</v>
      </c>
      <c r="E73" s="15">
        <f t="shared" si="1"/>
        <v>44195.916666666664</v>
      </c>
      <c r="F73" s="16"/>
      <c r="G73" s="16"/>
      <c r="H73" s="16"/>
      <c r="I73" s="15">
        <f t="shared" ref="I73:I111" si="2">0.4*D72+0.3*D71+0.2*D70+0.1*D69</f>
        <v>44904.800000000003</v>
      </c>
    </row>
    <row r="74" spans="1:9" x14ac:dyDescent="0.3">
      <c r="A74" s="4">
        <v>42309</v>
      </c>
      <c r="B74" s="5">
        <v>71</v>
      </c>
      <c r="C74" s="5" t="s">
        <v>13</v>
      </c>
      <c r="D74" s="6">
        <v>43128</v>
      </c>
      <c r="E74" s="15">
        <f t="shared" si="1"/>
        <v>44471.666666666664</v>
      </c>
      <c r="F74" s="16"/>
      <c r="G74" s="16"/>
      <c r="H74" s="16"/>
      <c r="I74" s="15">
        <f t="shared" si="2"/>
        <v>45146.200000000004</v>
      </c>
    </row>
    <row r="75" spans="1:9" x14ac:dyDescent="0.3">
      <c r="A75" s="4">
        <v>42339</v>
      </c>
      <c r="B75" s="5">
        <v>72</v>
      </c>
      <c r="C75" s="5" t="s">
        <v>14</v>
      </c>
      <c r="D75" s="6">
        <v>47365</v>
      </c>
      <c r="E75" s="15">
        <f t="shared" si="1"/>
        <v>44660.333333333336</v>
      </c>
      <c r="F75" s="16"/>
      <c r="G75" s="16"/>
      <c r="H75" s="16"/>
      <c r="I75" s="15">
        <f t="shared" si="2"/>
        <v>44243.4</v>
      </c>
    </row>
    <row r="76" spans="1:9" x14ac:dyDescent="0.3">
      <c r="A76" s="4">
        <v>42370</v>
      </c>
      <c r="B76" s="5">
        <v>73</v>
      </c>
      <c r="C76" s="5" t="s">
        <v>3</v>
      </c>
      <c r="D76" s="6">
        <v>43571</v>
      </c>
      <c r="E76" s="15">
        <f t="shared" si="1"/>
        <v>44924.416666666664</v>
      </c>
      <c r="F76" s="16"/>
      <c r="G76" s="16"/>
      <c r="H76" s="16"/>
      <c r="I76" s="15">
        <f t="shared" si="2"/>
        <v>45363.4</v>
      </c>
    </row>
    <row r="77" spans="1:9" x14ac:dyDescent="0.3">
      <c r="A77" s="4">
        <v>42401</v>
      </c>
      <c r="B77" s="5">
        <v>74</v>
      </c>
      <c r="C77" s="5" t="s">
        <v>4</v>
      </c>
      <c r="D77" s="6">
        <v>44624</v>
      </c>
      <c r="E77" s="15">
        <f t="shared" si="1"/>
        <v>45073.333333333336</v>
      </c>
      <c r="F77" s="16"/>
      <c r="G77" s="16"/>
      <c r="H77" s="16"/>
      <c r="I77" s="15">
        <f t="shared" si="2"/>
        <v>44851.8</v>
      </c>
    </row>
    <row r="78" spans="1:9" x14ac:dyDescent="0.3">
      <c r="A78" s="4">
        <v>42430</v>
      </c>
      <c r="B78" s="5">
        <v>75</v>
      </c>
      <c r="C78" s="5" t="s">
        <v>5</v>
      </c>
      <c r="D78" s="6">
        <v>48553</v>
      </c>
      <c r="E78" s="15">
        <f t="shared" si="1"/>
        <v>45430.583333333336</v>
      </c>
      <c r="F78" s="16"/>
      <c r="G78" s="16"/>
      <c r="H78" s="16"/>
      <c r="I78" s="15">
        <f t="shared" si="2"/>
        <v>44706.700000000004</v>
      </c>
    </row>
    <row r="79" spans="1:9" x14ac:dyDescent="0.3">
      <c r="A79" s="4">
        <v>42461</v>
      </c>
      <c r="B79" s="5">
        <v>76</v>
      </c>
      <c r="C79" s="5" t="s">
        <v>6</v>
      </c>
      <c r="D79" s="6">
        <v>48373</v>
      </c>
      <c r="E79" s="15">
        <f t="shared" si="1"/>
        <v>45617.75</v>
      </c>
      <c r="F79" s="16"/>
      <c r="G79" s="16"/>
      <c r="H79" s="16"/>
      <c r="I79" s="15">
        <f t="shared" si="2"/>
        <v>46259.100000000006</v>
      </c>
    </row>
    <row r="80" spans="1:9" x14ac:dyDescent="0.3">
      <c r="A80" s="4">
        <v>42491</v>
      </c>
      <c r="B80" s="5">
        <v>77</v>
      </c>
      <c r="C80" s="5" t="s">
        <v>7</v>
      </c>
      <c r="D80" s="6">
        <v>49117</v>
      </c>
      <c r="E80" s="15">
        <f t="shared" si="1"/>
        <v>45891</v>
      </c>
      <c r="F80" s="16"/>
      <c r="G80" s="16"/>
      <c r="H80" s="16"/>
      <c r="I80" s="15">
        <f t="shared" si="2"/>
        <v>47197</v>
      </c>
    </row>
    <row r="81" spans="1:9" x14ac:dyDescent="0.3">
      <c r="A81" s="4">
        <v>42522</v>
      </c>
      <c r="B81" s="5">
        <v>78</v>
      </c>
      <c r="C81" s="5" t="s">
        <v>8</v>
      </c>
      <c r="D81" s="6">
        <v>47334</v>
      </c>
      <c r="E81" s="15">
        <f t="shared" ref="E81:E111" si="3">AVERAGE(D69:D80)</f>
        <v>45977.666666666664</v>
      </c>
      <c r="F81" s="16"/>
      <c r="G81" s="16"/>
      <c r="H81" s="16"/>
      <c r="I81" s="15">
        <f t="shared" si="2"/>
        <v>48331.700000000004</v>
      </c>
    </row>
    <row r="82" spans="1:9" x14ac:dyDescent="0.3">
      <c r="A82" s="4">
        <v>42552</v>
      </c>
      <c r="B82" s="5">
        <v>79</v>
      </c>
      <c r="C82" s="5" t="s">
        <v>9</v>
      </c>
      <c r="D82" s="6">
        <v>48817</v>
      </c>
      <c r="E82" s="15">
        <f t="shared" si="3"/>
        <v>46133.75</v>
      </c>
      <c r="F82" s="16"/>
      <c r="G82" s="16"/>
      <c r="H82" s="16"/>
      <c r="I82" s="15">
        <f t="shared" si="2"/>
        <v>48198.6</v>
      </c>
    </row>
    <row r="83" spans="1:9" x14ac:dyDescent="0.3">
      <c r="A83" s="4">
        <v>42583</v>
      </c>
      <c r="B83" s="5">
        <v>80</v>
      </c>
      <c r="C83" s="5" t="s">
        <v>10</v>
      </c>
      <c r="D83" s="6">
        <v>47920</v>
      </c>
      <c r="E83" s="15">
        <f t="shared" si="3"/>
        <v>46334.5</v>
      </c>
      <c r="F83" s="16"/>
      <c r="G83" s="16"/>
      <c r="H83" s="16"/>
      <c r="I83" s="15">
        <f t="shared" si="2"/>
        <v>48387.700000000004</v>
      </c>
    </row>
    <row r="84" spans="1:9" x14ac:dyDescent="0.3">
      <c r="A84" s="4">
        <v>42614</v>
      </c>
      <c r="B84" s="5">
        <v>81</v>
      </c>
      <c r="C84" s="5" t="s">
        <v>11</v>
      </c>
      <c r="D84" s="6">
        <v>45692</v>
      </c>
      <c r="E84" s="15">
        <f t="shared" si="3"/>
        <v>46475.75</v>
      </c>
      <c r="F84" s="16"/>
      <c r="G84" s="16"/>
      <c r="H84" s="16"/>
      <c r="I84" s="15">
        <f t="shared" si="2"/>
        <v>48191.600000000006</v>
      </c>
    </row>
    <row r="85" spans="1:9" x14ac:dyDescent="0.3">
      <c r="A85" s="4">
        <v>42644</v>
      </c>
      <c r="B85" s="5">
        <v>82</v>
      </c>
      <c r="C85" s="5" t="s">
        <v>12</v>
      </c>
      <c r="D85" s="6">
        <v>47270</v>
      </c>
      <c r="E85" s="15">
        <f t="shared" si="3"/>
        <v>46698.083333333336</v>
      </c>
      <c r="F85" s="16"/>
      <c r="G85" s="16"/>
      <c r="H85" s="16"/>
      <c r="I85" s="15">
        <f t="shared" si="2"/>
        <v>47149.599999999999</v>
      </c>
    </row>
    <row r="86" spans="1:9" x14ac:dyDescent="0.3">
      <c r="A86" s="4">
        <v>42675</v>
      </c>
      <c r="B86" s="5">
        <v>83</v>
      </c>
      <c r="C86" s="5" t="s">
        <v>13</v>
      </c>
      <c r="D86" s="6">
        <v>45581</v>
      </c>
      <c r="E86" s="15">
        <f t="shared" si="3"/>
        <v>46813.666666666664</v>
      </c>
      <c r="F86" s="16"/>
      <c r="G86" s="16"/>
      <c r="H86" s="16"/>
      <c r="I86" s="15">
        <f t="shared" si="2"/>
        <v>47081.299999999996</v>
      </c>
    </row>
    <row r="87" spans="1:9" x14ac:dyDescent="0.3">
      <c r="A87" s="4">
        <v>42705</v>
      </c>
      <c r="B87" s="5">
        <v>84</v>
      </c>
      <c r="C87" s="5" t="s">
        <v>14</v>
      </c>
      <c r="D87" s="6">
        <v>49559</v>
      </c>
      <c r="E87" s="15">
        <f t="shared" si="3"/>
        <v>47018.083333333336</v>
      </c>
      <c r="F87" s="16"/>
      <c r="G87" s="16"/>
      <c r="H87" s="16"/>
      <c r="I87" s="15">
        <f t="shared" si="2"/>
        <v>46343.8</v>
      </c>
    </row>
    <row r="88" spans="1:9" x14ac:dyDescent="0.3">
      <c r="A88" s="4">
        <v>42736</v>
      </c>
      <c r="B88" s="5">
        <v>85</v>
      </c>
      <c r="C88" s="5" t="s">
        <v>3</v>
      </c>
      <c r="D88" s="6">
        <v>45897</v>
      </c>
      <c r="E88" s="15">
        <f t="shared" si="3"/>
        <v>47200.916666666664</v>
      </c>
      <c r="F88" s="16"/>
      <c r="G88" s="16"/>
      <c r="H88" s="16"/>
      <c r="I88" s="15">
        <f t="shared" si="2"/>
        <v>47521.1</v>
      </c>
    </row>
    <row r="89" spans="1:9" x14ac:dyDescent="0.3">
      <c r="A89" s="4">
        <v>42767</v>
      </c>
      <c r="B89" s="5">
        <v>86</v>
      </c>
      <c r="C89" s="5" t="s">
        <v>4</v>
      </c>
      <c r="D89" s="6">
        <v>45364</v>
      </c>
      <c r="E89" s="15">
        <f t="shared" si="3"/>
        <v>47394.75</v>
      </c>
      <c r="F89" s="16"/>
      <c r="G89" s="16"/>
      <c r="H89" s="16"/>
      <c r="I89" s="15">
        <f t="shared" si="2"/>
        <v>47069.7</v>
      </c>
    </row>
    <row r="90" spans="1:9" x14ac:dyDescent="0.3">
      <c r="A90" s="4">
        <v>42795</v>
      </c>
      <c r="B90" s="5">
        <v>87</v>
      </c>
      <c r="C90" s="5" t="s">
        <v>5</v>
      </c>
      <c r="D90" s="6">
        <v>51845</v>
      </c>
      <c r="E90" s="15">
        <f t="shared" si="3"/>
        <v>47456.416666666664</v>
      </c>
      <c r="F90" s="16"/>
      <c r="G90" s="16"/>
      <c r="H90" s="16"/>
      <c r="I90" s="15">
        <f t="shared" si="2"/>
        <v>46384.600000000006</v>
      </c>
    </row>
    <row r="91" spans="1:9" x14ac:dyDescent="0.3">
      <c r="A91" s="4">
        <v>42826</v>
      </c>
      <c r="B91" s="5">
        <v>88</v>
      </c>
      <c r="C91" s="5" t="s">
        <v>6</v>
      </c>
      <c r="D91" s="6">
        <v>50245</v>
      </c>
      <c r="E91" s="15">
        <f t="shared" si="3"/>
        <v>47730.75</v>
      </c>
      <c r="F91" s="16"/>
      <c r="G91" s="16"/>
      <c r="H91" s="16"/>
      <c r="I91" s="15">
        <f t="shared" si="2"/>
        <v>48482.5</v>
      </c>
    </row>
    <row r="92" spans="1:9" x14ac:dyDescent="0.3">
      <c r="A92" s="4">
        <v>42856</v>
      </c>
      <c r="B92" s="5">
        <v>89</v>
      </c>
      <c r="C92" s="5" t="s">
        <v>7</v>
      </c>
      <c r="D92" s="6">
        <v>51829</v>
      </c>
      <c r="E92" s="15">
        <f t="shared" si="3"/>
        <v>47886.75</v>
      </c>
      <c r="F92" s="16"/>
      <c r="G92" s="16"/>
      <c r="H92" s="16"/>
      <c r="I92" s="15">
        <f t="shared" si="2"/>
        <v>49314</v>
      </c>
    </row>
    <row r="93" spans="1:9" x14ac:dyDescent="0.3">
      <c r="A93" s="4">
        <v>42887</v>
      </c>
      <c r="B93" s="5">
        <v>90</v>
      </c>
      <c r="C93" s="5" t="s">
        <v>8</v>
      </c>
      <c r="D93" s="6">
        <v>51013</v>
      </c>
      <c r="E93" s="15">
        <f t="shared" si="3"/>
        <v>48112.75</v>
      </c>
      <c r="F93" s="16"/>
      <c r="G93" s="16"/>
      <c r="H93" s="16"/>
      <c r="I93" s="15">
        <f t="shared" si="2"/>
        <v>50710.500000000007</v>
      </c>
    </row>
    <row r="94" spans="1:9" x14ac:dyDescent="0.3">
      <c r="A94" s="4">
        <v>42917</v>
      </c>
      <c r="B94" s="5">
        <v>91</v>
      </c>
      <c r="C94" s="5" t="s">
        <v>9</v>
      </c>
      <c r="D94" s="6">
        <v>51173</v>
      </c>
      <c r="E94" s="15">
        <f t="shared" si="3"/>
        <v>48419.333333333336</v>
      </c>
      <c r="F94" s="16"/>
      <c r="G94" s="16"/>
      <c r="H94" s="16"/>
      <c r="I94" s="15">
        <f t="shared" si="2"/>
        <v>51187.4</v>
      </c>
    </row>
    <row r="95" spans="1:9" x14ac:dyDescent="0.3">
      <c r="A95" s="4">
        <v>42948</v>
      </c>
      <c r="B95" s="5">
        <v>92</v>
      </c>
      <c r="C95" s="5" t="s">
        <v>10</v>
      </c>
      <c r="D95" s="6">
        <v>50943</v>
      </c>
      <c r="E95" s="15">
        <f t="shared" si="3"/>
        <v>48615.666666666664</v>
      </c>
      <c r="F95" s="16"/>
      <c r="G95" s="16"/>
      <c r="H95" s="16"/>
      <c r="I95" s="15">
        <f t="shared" si="2"/>
        <v>51163.4</v>
      </c>
    </row>
    <row r="96" spans="1:9" x14ac:dyDescent="0.3">
      <c r="A96" s="4">
        <v>42979</v>
      </c>
      <c r="B96" s="5">
        <v>93</v>
      </c>
      <c r="C96" s="5" t="s">
        <v>11</v>
      </c>
      <c r="D96" s="6">
        <v>48447</v>
      </c>
      <c r="E96" s="15">
        <f t="shared" si="3"/>
        <v>48867.583333333336</v>
      </c>
      <c r="F96" s="16"/>
      <c r="G96" s="16"/>
      <c r="H96" s="16"/>
      <c r="I96" s="15">
        <f t="shared" si="2"/>
        <v>51114.6</v>
      </c>
    </row>
    <row r="97" spans="1:12" x14ac:dyDescent="0.3">
      <c r="A97" s="4">
        <v>43009</v>
      </c>
      <c r="B97" s="5">
        <v>94</v>
      </c>
      <c r="C97" s="5" t="s">
        <v>12</v>
      </c>
      <c r="D97" s="6">
        <v>49408</v>
      </c>
      <c r="E97" s="15">
        <f t="shared" si="3"/>
        <v>49097.166666666664</v>
      </c>
      <c r="F97" s="16"/>
      <c r="G97" s="16"/>
      <c r="H97" s="16"/>
      <c r="I97" s="15">
        <f t="shared" si="2"/>
        <v>49997.599999999999</v>
      </c>
    </row>
    <row r="98" spans="1:12" x14ac:dyDescent="0.3">
      <c r="A98" s="4">
        <v>43040</v>
      </c>
      <c r="B98" s="5">
        <v>95</v>
      </c>
      <c r="C98" s="5" t="s">
        <v>13</v>
      </c>
      <c r="D98" s="6">
        <v>47580</v>
      </c>
      <c r="E98" s="15">
        <f t="shared" si="3"/>
        <v>49275.333333333336</v>
      </c>
      <c r="F98" s="16"/>
      <c r="G98" s="16"/>
      <c r="H98" s="16"/>
      <c r="I98" s="15">
        <f t="shared" si="2"/>
        <v>49603.200000000004</v>
      </c>
    </row>
    <row r="99" spans="1:12" x14ac:dyDescent="0.3">
      <c r="A99" s="4">
        <v>43070</v>
      </c>
      <c r="B99" s="5">
        <v>96</v>
      </c>
      <c r="C99" s="5" t="s">
        <v>14</v>
      </c>
      <c r="D99" s="6">
        <v>53037</v>
      </c>
      <c r="E99" s="15">
        <f t="shared" si="3"/>
        <v>49441.916666666664</v>
      </c>
      <c r="F99" s="16"/>
      <c r="G99" s="16"/>
      <c r="H99" s="16"/>
      <c r="I99" s="15">
        <f t="shared" si="2"/>
        <v>48638.100000000006</v>
      </c>
    </row>
    <row r="100" spans="1:12" x14ac:dyDescent="0.3">
      <c r="A100" s="4">
        <v>43101</v>
      </c>
      <c r="B100" s="5">
        <v>97</v>
      </c>
      <c r="C100" s="5" t="s">
        <v>3</v>
      </c>
      <c r="D100" s="6">
        <v>47333</v>
      </c>
      <c r="E100" s="15">
        <f t="shared" si="3"/>
        <v>49731.75</v>
      </c>
      <c r="F100" s="16"/>
      <c r="G100" s="16"/>
      <c r="H100" s="16"/>
      <c r="I100" s="15">
        <f t="shared" si="2"/>
        <v>50215.1</v>
      </c>
    </row>
    <row r="101" spans="1:12" x14ac:dyDescent="0.3">
      <c r="A101" s="4">
        <v>43132</v>
      </c>
      <c r="B101" s="5">
        <v>98</v>
      </c>
      <c r="C101" s="5" t="s">
        <v>4</v>
      </c>
      <c r="D101" s="6">
        <v>47095</v>
      </c>
      <c r="E101" s="15">
        <f t="shared" si="3"/>
        <v>49851.416666666664</v>
      </c>
      <c r="F101" s="16"/>
      <c r="G101" s="16"/>
      <c r="H101" s="16"/>
      <c r="I101" s="15">
        <f t="shared" si="2"/>
        <v>49301.100000000006</v>
      </c>
    </row>
    <row r="102" spans="1:12" x14ac:dyDescent="0.3">
      <c r="A102" s="4">
        <v>43160</v>
      </c>
      <c r="B102" s="5">
        <v>99</v>
      </c>
      <c r="C102" s="5" t="s">
        <v>5</v>
      </c>
      <c r="D102" s="6">
        <v>54782</v>
      </c>
      <c r="E102" s="15">
        <f t="shared" si="3"/>
        <v>49995.666666666664</v>
      </c>
      <c r="F102" s="16"/>
      <c r="G102" s="16"/>
      <c r="H102" s="16"/>
      <c r="I102" s="15">
        <f t="shared" si="2"/>
        <v>48403.3</v>
      </c>
    </row>
    <row r="103" spans="1:12" x14ac:dyDescent="0.3">
      <c r="A103" s="4">
        <v>43191</v>
      </c>
      <c r="B103" s="5">
        <v>100</v>
      </c>
      <c r="C103" s="5" t="s">
        <v>6</v>
      </c>
      <c r="D103" s="6">
        <v>51700</v>
      </c>
      <c r="E103" s="15">
        <f t="shared" si="3"/>
        <v>50240.416666666664</v>
      </c>
      <c r="F103" s="16"/>
      <c r="G103" s="16"/>
      <c r="H103" s="16"/>
      <c r="I103" s="15">
        <f t="shared" si="2"/>
        <v>50811.600000000006</v>
      </c>
    </row>
    <row r="104" spans="1:12" x14ac:dyDescent="0.3">
      <c r="A104" s="4">
        <v>43221</v>
      </c>
      <c r="B104" s="5">
        <v>101</v>
      </c>
      <c r="C104" s="5" t="s">
        <v>7</v>
      </c>
      <c r="D104" s="6">
        <v>55395</v>
      </c>
      <c r="E104" s="15">
        <f t="shared" si="3"/>
        <v>50361.666666666664</v>
      </c>
      <c r="F104" s="16"/>
      <c r="G104" s="16"/>
      <c r="H104" s="16"/>
      <c r="I104" s="15">
        <f t="shared" si="2"/>
        <v>51266.9</v>
      </c>
    </row>
    <row r="105" spans="1:12" x14ac:dyDescent="0.3">
      <c r="A105" s="4">
        <v>43252</v>
      </c>
      <c r="B105" s="5">
        <v>102</v>
      </c>
      <c r="C105" s="5" t="s">
        <v>8</v>
      </c>
      <c r="D105" s="6">
        <v>55556</v>
      </c>
      <c r="E105" s="15">
        <f t="shared" si="3"/>
        <v>50658.833333333336</v>
      </c>
      <c r="F105" s="16"/>
      <c r="G105" s="16"/>
      <c r="H105" s="16"/>
      <c r="I105" s="15">
        <f t="shared" si="2"/>
        <v>53333.9</v>
      </c>
    </row>
    <row r="106" spans="1:12" x14ac:dyDescent="0.3">
      <c r="A106" s="4">
        <v>43282</v>
      </c>
      <c r="B106" s="5">
        <v>103</v>
      </c>
      <c r="C106" s="5" t="s">
        <v>9</v>
      </c>
      <c r="D106" s="6">
        <v>55840</v>
      </c>
      <c r="E106" s="15">
        <f t="shared" si="3"/>
        <v>51037.416666666664</v>
      </c>
      <c r="F106" s="16"/>
      <c r="G106" s="16"/>
      <c r="H106" s="16"/>
      <c r="I106" s="15">
        <f t="shared" si="2"/>
        <v>54659.100000000006</v>
      </c>
    </row>
    <row r="107" spans="1:12" x14ac:dyDescent="0.3">
      <c r="A107" s="4">
        <v>43313</v>
      </c>
      <c r="B107" s="5">
        <v>104</v>
      </c>
      <c r="C107" s="5" t="s">
        <v>10</v>
      </c>
      <c r="D107" s="6">
        <v>56029</v>
      </c>
      <c r="E107" s="15">
        <f t="shared" si="3"/>
        <v>51426.333333333336</v>
      </c>
      <c r="F107" s="16"/>
      <c r="G107" s="16"/>
      <c r="H107" s="16"/>
      <c r="I107" s="15">
        <f t="shared" si="2"/>
        <v>55251.8</v>
      </c>
    </row>
    <row r="108" spans="1:12" x14ac:dyDescent="0.3">
      <c r="A108" s="4">
        <v>43344</v>
      </c>
      <c r="B108" s="5">
        <v>105</v>
      </c>
      <c r="C108" s="5" t="s">
        <v>11</v>
      </c>
      <c r="D108" s="6">
        <v>50923</v>
      </c>
      <c r="E108" s="15">
        <f t="shared" si="3"/>
        <v>51850.166666666664</v>
      </c>
      <c r="F108" s="16"/>
      <c r="G108" s="16"/>
      <c r="H108" s="16"/>
      <c r="I108" s="15">
        <f t="shared" si="2"/>
        <v>55814.3</v>
      </c>
    </row>
    <row r="109" spans="1:12" x14ac:dyDescent="0.3">
      <c r="A109" s="4">
        <v>43374</v>
      </c>
      <c r="B109" s="5">
        <v>106</v>
      </c>
      <c r="C109" s="5" t="s">
        <v>12</v>
      </c>
      <c r="D109" s="6">
        <v>52322</v>
      </c>
      <c r="E109" s="15">
        <f t="shared" si="3"/>
        <v>52056.5</v>
      </c>
      <c r="F109" s="16"/>
      <c r="G109" s="16"/>
      <c r="H109" s="16"/>
      <c r="I109" s="15">
        <f t="shared" si="2"/>
        <v>53901.5</v>
      </c>
    </row>
    <row r="110" spans="1:12" x14ac:dyDescent="0.3">
      <c r="A110" s="4">
        <v>43405</v>
      </c>
      <c r="B110" s="5">
        <v>107</v>
      </c>
      <c r="C110" s="5" t="s">
        <v>13</v>
      </c>
      <c r="D110" s="6">
        <v>50429</v>
      </c>
      <c r="E110" s="15">
        <f t="shared" si="3"/>
        <v>52299.333333333336</v>
      </c>
      <c r="F110" s="16"/>
      <c r="G110" s="16"/>
      <c r="H110" s="16"/>
      <c r="I110" s="15">
        <f t="shared" si="2"/>
        <v>52995.500000000007</v>
      </c>
    </row>
    <row r="111" spans="1:12" x14ac:dyDescent="0.3">
      <c r="A111" s="4">
        <v>43435</v>
      </c>
      <c r="B111" s="5">
        <v>108</v>
      </c>
      <c r="C111" s="5" t="s">
        <v>14</v>
      </c>
      <c r="D111" s="6">
        <v>54567</v>
      </c>
      <c r="E111" s="15">
        <f t="shared" si="3"/>
        <v>52536.75</v>
      </c>
      <c r="F111" s="19" t="s">
        <v>48</v>
      </c>
      <c r="G111" s="19" t="s">
        <v>33</v>
      </c>
      <c r="H111" s="19" t="s">
        <v>34</v>
      </c>
      <c r="I111" s="15">
        <f t="shared" si="2"/>
        <v>51655.7</v>
      </c>
      <c r="J111" s="19" t="s">
        <v>48</v>
      </c>
      <c r="K111" s="19" t="s">
        <v>33</v>
      </c>
      <c r="L111" s="19" t="s">
        <v>34</v>
      </c>
    </row>
    <row r="112" spans="1:12" x14ac:dyDescent="0.3">
      <c r="A112" s="4">
        <v>43466</v>
      </c>
      <c r="B112" s="5">
        <v>109</v>
      </c>
      <c r="C112" s="5" t="s">
        <v>3</v>
      </c>
      <c r="D112" s="6">
        <v>49445</v>
      </c>
      <c r="E112" s="45">
        <f>SLOPE($E$16:$E$111,$B$16:$B$111)*B112+INTERCEPT($E$16:$E$111,$B$16:$B$111)</f>
        <v>52009.214912280688</v>
      </c>
      <c r="F112" s="17">
        <f>AVERAGE(D100:D111)</f>
        <v>52664.25</v>
      </c>
      <c r="G112" s="39">
        <f>ABS((D112-F112)/D112)</f>
        <v>6.5107695419152595E-2</v>
      </c>
      <c r="H112" s="18">
        <f>(D112-F112)^2</f>
        <v>10363570.5625</v>
      </c>
      <c r="I112" s="45">
        <f>SLOPE($I$8:$I$111,$B$8:$B$111)*B112+INTERCEPT($I$8:$I$111,$B$8:$B$111)</f>
        <v>53054.852875280063</v>
      </c>
      <c r="J112" s="17">
        <f>0.4*D111+0.3*D110+0.2*D109+0.1*D108</f>
        <v>52512.200000000004</v>
      </c>
      <c r="K112" s="39">
        <f>ABS((D112-J112)/D112)</f>
        <v>6.2032561431894111E-2</v>
      </c>
      <c r="L112" s="18">
        <f>(D112-J112)^2</f>
        <v>9407715.8400000259</v>
      </c>
    </row>
    <row r="113" spans="1:12" x14ac:dyDescent="0.3">
      <c r="A113" s="4">
        <v>43497</v>
      </c>
      <c r="B113" s="5">
        <v>110</v>
      </c>
      <c r="C113" s="5" t="s">
        <v>4</v>
      </c>
      <c r="D113" s="6">
        <v>49162</v>
      </c>
      <c r="E113" s="45">
        <f t="shared" ref="E113:E123" si="4">SLOPE($E$16:$E$111,$B$16:$B$111)*B113+INTERCEPT($E$16:$E$111,$B$16:$B$111)</f>
        <v>52215.986096039051</v>
      </c>
      <c r="F113" s="17">
        <f t="shared" ref="F113:F123" si="5">AVERAGE(D101:D112)</f>
        <v>52840.25</v>
      </c>
      <c r="G113" s="39">
        <f t="shared" ref="G113:G123" si="6">ABS((D113-F113)/D113)</f>
        <v>7.4818965867946785E-2</v>
      </c>
      <c r="H113" s="18">
        <f t="shared" ref="H113:H123" si="7">(D113-F113)^2</f>
        <v>13529523.0625</v>
      </c>
      <c r="I113" s="45">
        <f t="shared" ref="I113:I123" si="8">SLOPE($I$8:$I$111,$B$8:$B$111)*B113+INTERCEPT($I$8:$I$111,$B$8:$B$111)</f>
        <v>53261.693003307373</v>
      </c>
      <c r="J113" s="17">
        <f t="shared" ref="J113:J123" si="9">0.4*D112+0.3*D111+0.2*D110+0.1*D109</f>
        <v>51466.100000000006</v>
      </c>
      <c r="K113" s="39">
        <f t="shared" ref="K113:K123" si="10">ABS((D113-J113)/D113)</f>
        <v>4.6867499288068139E-2</v>
      </c>
      <c r="L113" s="18">
        <f t="shared" ref="L113:L123" si="11">(D113-J113)^2</f>
        <v>5308876.8100000266</v>
      </c>
    </row>
    <row r="114" spans="1:12" x14ac:dyDescent="0.3">
      <c r="A114" s="4">
        <v>43525</v>
      </c>
      <c r="B114" s="5">
        <v>111</v>
      </c>
      <c r="C114" s="5" t="s">
        <v>5</v>
      </c>
      <c r="D114" s="6">
        <v>57230</v>
      </c>
      <c r="E114" s="45">
        <f t="shared" si="4"/>
        <v>52422.757279797421</v>
      </c>
      <c r="F114" s="17">
        <f t="shared" si="5"/>
        <v>53012.5</v>
      </c>
      <c r="G114" s="39">
        <f t="shared" si="6"/>
        <v>7.36938668530491E-2</v>
      </c>
      <c r="H114" s="18">
        <f t="shared" si="7"/>
        <v>17787306.25</v>
      </c>
      <c r="I114" s="45">
        <f t="shared" si="8"/>
        <v>53468.533131334691</v>
      </c>
      <c r="J114" s="17">
        <f t="shared" si="9"/>
        <v>50454.600000000006</v>
      </c>
      <c r="K114" s="39">
        <f t="shared" si="10"/>
        <v>0.11838895684081766</v>
      </c>
      <c r="L114" s="18">
        <f t="shared" si="11"/>
        <v>45906045.159999922</v>
      </c>
    </row>
    <row r="115" spans="1:12" x14ac:dyDescent="0.3">
      <c r="A115" s="4">
        <v>43556</v>
      </c>
      <c r="B115" s="5">
        <v>112</v>
      </c>
      <c r="C115" s="5" t="s">
        <v>6</v>
      </c>
      <c r="D115" s="6">
        <v>54723</v>
      </c>
      <c r="E115" s="45">
        <f t="shared" si="4"/>
        <v>52629.528463555784</v>
      </c>
      <c r="F115" s="17">
        <f t="shared" si="5"/>
        <v>53216.5</v>
      </c>
      <c r="G115" s="39">
        <f t="shared" si="6"/>
        <v>2.7529557955521443E-2</v>
      </c>
      <c r="H115" s="18">
        <f t="shared" si="7"/>
        <v>2269542.25</v>
      </c>
      <c r="I115" s="45">
        <f t="shared" si="8"/>
        <v>53675.373259362008</v>
      </c>
      <c r="J115" s="17">
        <f t="shared" si="9"/>
        <v>52986.3</v>
      </c>
      <c r="K115" s="39">
        <f t="shared" si="10"/>
        <v>3.1736198673318297E-2</v>
      </c>
      <c r="L115" s="18">
        <f t="shared" si="11"/>
        <v>3016126.8899999899</v>
      </c>
    </row>
    <row r="116" spans="1:12" x14ac:dyDescent="0.3">
      <c r="A116" s="4">
        <v>43586</v>
      </c>
      <c r="B116" s="5">
        <v>113</v>
      </c>
      <c r="C116" s="5" t="s">
        <v>7</v>
      </c>
      <c r="D116" s="6">
        <v>58681</v>
      </c>
      <c r="E116" s="45">
        <f t="shared" si="4"/>
        <v>52836.299647314154</v>
      </c>
      <c r="F116" s="17">
        <f t="shared" si="5"/>
        <v>53468.416666666664</v>
      </c>
      <c r="G116" s="39">
        <f t="shared" si="6"/>
        <v>8.8829149696381032E-2</v>
      </c>
      <c r="H116" s="18">
        <f t="shared" si="7"/>
        <v>27171025.00694447</v>
      </c>
      <c r="I116" s="45">
        <f t="shared" si="8"/>
        <v>53882.213387389318</v>
      </c>
      <c r="J116" s="17">
        <f t="shared" si="9"/>
        <v>53835.1</v>
      </c>
      <c r="K116" s="39">
        <f t="shared" si="10"/>
        <v>8.2580392290519958E-2</v>
      </c>
      <c r="L116" s="18">
        <f t="shared" si="11"/>
        <v>23482746.810000014</v>
      </c>
    </row>
    <row r="117" spans="1:12" x14ac:dyDescent="0.3">
      <c r="A117" s="4">
        <v>43617</v>
      </c>
      <c r="B117" s="5">
        <v>114</v>
      </c>
      <c r="C117" s="5" t="s">
        <v>8</v>
      </c>
      <c r="D117" s="6">
        <v>57911</v>
      </c>
      <c r="E117" s="45">
        <f t="shared" si="4"/>
        <v>53043.070831072517</v>
      </c>
      <c r="F117" s="17">
        <f t="shared" si="5"/>
        <v>53742.25</v>
      </c>
      <c r="G117" s="39">
        <f t="shared" si="6"/>
        <v>7.1985460447928723E-2</v>
      </c>
      <c r="H117" s="18">
        <f t="shared" si="7"/>
        <v>17378476.5625</v>
      </c>
      <c r="I117" s="45">
        <f t="shared" si="8"/>
        <v>54089.053515416628</v>
      </c>
      <c r="J117" s="17">
        <f t="shared" si="9"/>
        <v>56251.5</v>
      </c>
      <c r="K117" s="39">
        <f t="shared" si="10"/>
        <v>2.8656041166617741E-2</v>
      </c>
      <c r="L117" s="18">
        <f t="shared" si="11"/>
        <v>2753940.25</v>
      </c>
    </row>
    <row r="118" spans="1:12" x14ac:dyDescent="0.3">
      <c r="A118" s="4">
        <v>43647</v>
      </c>
      <c r="B118" s="5">
        <v>115</v>
      </c>
      <c r="C118" s="5" t="s">
        <v>9</v>
      </c>
      <c r="D118" s="6">
        <v>58456</v>
      </c>
      <c r="E118" s="45">
        <f t="shared" si="4"/>
        <v>53249.84201483088</v>
      </c>
      <c r="F118" s="17">
        <f t="shared" si="5"/>
        <v>53938.5</v>
      </c>
      <c r="G118" s="39">
        <f t="shared" si="6"/>
        <v>7.7280347611879019E-2</v>
      </c>
      <c r="H118" s="18">
        <f t="shared" si="7"/>
        <v>20407806.25</v>
      </c>
      <c r="I118" s="45">
        <f t="shared" si="8"/>
        <v>54295.893643443938</v>
      </c>
      <c r="J118" s="17">
        <f t="shared" si="9"/>
        <v>57436.299999999996</v>
      </c>
      <c r="K118" s="39">
        <f t="shared" si="10"/>
        <v>1.7443889421103125E-2</v>
      </c>
      <c r="L118" s="18">
        <f t="shared" si="11"/>
        <v>1039788.0900000089</v>
      </c>
    </row>
    <row r="119" spans="1:12" x14ac:dyDescent="0.3">
      <c r="A119" s="4">
        <v>43678</v>
      </c>
      <c r="B119" s="5">
        <v>116</v>
      </c>
      <c r="C119" s="5" t="s">
        <v>10</v>
      </c>
      <c r="D119" s="6">
        <v>59213</v>
      </c>
      <c r="E119" s="45">
        <f t="shared" si="4"/>
        <v>53456.613198589243</v>
      </c>
      <c r="F119" s="17">
        <f t="shared" si="5"/>
        <v>54156.5</v>
      </c>
      <c r="G119" s="39">
        <f t="shared" si="6"/>
        <v>8.5395099049195275E-2</v>
      </c>
      <c r="H119" s="18">
        <f t="shared" si="7"/>
        <v>25568192.25</v>
      </c>
      <c r="I119" s="45">
        <f t="shared" si="8"/>
        <v>54502.733771471248</v>
      </c>
      <c r="J119" s="17">
        <f t="shared" si="9"/>
        <v>57964.2</v>
      </c>
      <c r="K119" s="39">
        <f t="shared" si="10"/>
        <v>2.1089963352642207E-2</v>
      </c>
      <c r="L119" s="18">
        <f t="shared" si="11"/>
        <v>1559501.4400000072</v>
      </c>
    </row>
    <row r="120" spans="1:12" x14ac:dyDescent="0.3">
      <c r="A120" s="4">
        <v>43709</v>
      </c>
      <c r="B120" s="5">
        <v>117</v>
      </c>
      <c r="C120" s="5" t="s">
        <v>11</v>
      </c>
      <c r="D120" s="6">
        <v>53997</v>
      </c>
      <c r="E120" s="45">
        <f t="shared" si="4"/>
        <v>53663.384382347605</v>
      </c>
      <c r="F120" s="17">
        <f t="shared" si="5"/>
        <v>54421.833333333336</v>
      </c>
      <c r="G120" s="39">
        <f t="shared" si="6"/>
        <v>7.867721046231008E-3</v>
      </c>
      <c r="H120" s="18">
        <f t="shared" si="7"/>
        <v>180483.36111111316</v>
      </c>
      <c r="I120" s="45">
        <f t="shared" si="8"/>
        <v>54709.573899498566</v>
      </c>
      <c r="J120" s="17">
        <f t="shared" si="9"/>
        <v>58672.299999999996</v>
      </c>
      <c r="K120" s="39">
        <f t="shared" si="10"/>
        <v>8.6584439876289346E-2</v>
      </c>
      <c r="L120" s="18">
        <f t="shared" si="11"/>
        <v>21858430.089999959</v>
      </c>
    </row>
    <row r="121" spans="1:12" x14ac:dyDescent="0.3">
      <c r="A121" s="4">
        <v>43739</v>
      </c>
      <c r="B121" s="5">
        <v>118</v>
      </c>
      <c r="C121" s="5" t="s">
        <v>12</v>
      </c>
      <c r="D121" s="6">
        <v>55928</v>
      </c>
      <c r="E121" s="45">
        <f t="shared" si="4"/>
        <v>53870.155566105968</v>
      </c>
      <c r="F121" s="17">
        <f t="shared" si="5"/>
        <v>54678</v>
      </c>
      <c r="G121" s="39">
        <f t="shared" si="6"/>
        <v>2.2350164497210698E-2</v>
      </c>
      <c r="H121" s="18">
        <f t="shared" si="7"/>
        <v>1562500</v>
      </c>
      <c r="I121" s="45">
        <f t="shared" si="8"/>
        <v>54916.414027525883</v>
      </c>
      <c r="J121" s="17">
        <f t="shared" si="9"/>
        <v>56844.999999999993</v>
      </c>
      <c r="K121" s="39">
        <f t="shared" si="10"/>
        <v>1.6396080675153638E-2</v>
      </c>
      <c r="L121" s="18">
        <f t="shared" si="11"/>
        <v>840888.99999998661</v>
      </c>
    </row>
    <row r="122" spans="1:12" x14ac:dyDescent="0.3">
      <c r="A122" s="4">
        <v>43770</v>
      </c>
      <c r="B122" s="5">
        <v>119</v>
      </c>
      <c r="C122" s="5" t="s">
        <v>13</v>
      </c>
      <c r="D122" s="6">
        <v>54579</v>
      </c>
      <c r="E122" s="45">
        <f t="shared" si="4"/>
        <v>54076.926749864338</v>
      </c>
      <c r="F122" s="17">
        <f t="shared" si="5"/>
        <v>54978.5</v>
      </c>
      <c r="G122" s="39">
        <f t="shared" si="6"/>
        <v>7.3196650726469886E-3</v>
      </c>
      <c r="H122" s="18">
        <f t="shared" si="7"/>
        <v>159600.25</v>
      </c>
      <c r="I122" s="45">
        <f t="shared" si="8"/>
        <v>55123.254155553193</v>
      </c>
      <c r="J122" s="17">
        <f t="shared" si="9"/>
        <v>56258.5</v>
      </c>
      <c r="K122" s="39">
        <f t="shared" si="10"/>
        <v>3.0771908609538469E-2</v>
      </c>
      <c r="L122" s="18">
        <f t="shared" si="11"/>
        <v>2820720.25</v>
      </c>
    </row>
    <row r="123" spans="1:12" x14ac:dyDescent="0.3">
      <c r="A123" s="4">
        <v>43800</v>
      </c>
      <c r="B123" s="5">
        <v>120</v>
      </c>
      <c r="C123" s="5" t="s">
        <v>14</v>
      </c>
      <c r="D123" s="6">
        <v>57994</v>
      </c>
      <c r="E123" s="45">
        <f t="shared" si="4"/>
        <v>54283.697933622709</v>
      </c>
      <c r="F123" s="17">
        <f t="shared" si="5"/>
        <v>55324.333333333336</v>
      </c>
      <c r="G123" s="39">
        <f t="shared" si="6"/>
        <v>4.6033497718154709E-2</v>
      </c>
      <c r="H123" s="18">
        <f t="shared" si="7"/>
        <v>7127120.111111098</v>
      </c>
      <c r="I123" s="45">
        <f t="shared" si="8"/>
        <v>55330.094283580504</v>
      </c>
      <c r="J123" s="17">
        <f t="shared" si="9"/>
        <v>55330.700000000004</v>
      </c>
      <c r="K123" s="39">
        <f t="shared" si="10"/>
        <v>4.5923716246508185E-2</v>
      </c>
      <c r="L123" s="18">
        <f t="shared" si="11"/>
        <v>7093166.8899999764</v>
      </c>
    </row>
    <row r="124" spans="1:12" x14ac:dyDescent="0.3">
      <c r="A124" s="1"/>
    </row>
    <row r="125" spans="1:12" x14ac:dyDescent="0.3">
      <c r="A125" s="1"/>
      <c r="F125" s="2" t="s">
        <v>35</v>
      </c>
      <c r="G125" s="42">
        <f>AVERAGE(G112:G123)</f>
        <v>5.4017599269608113E-2</v>
      </c>
      <c r="H125" s="8">
        <f>SQRT(AVERAGE(H112:H123))</f>
        <v>3458.1443231482149</v>
      </c>
      <c r="J125" s="2" t="s">
        <v>35</v>
      </c>
      <c r="K125" s="42">
        <f>AVERAGE(K112:K123)</f>
        <v>4.9039303989372569E-2</v>
      </c>
      <c r="L125" s="8">
        <f>SQRT(AVERAGE(L112:L123))</f>
        <v>3228.6213197999327</v>
      </c>
    </row>
    <row r="126" spans="1:12" x14ac:dyDescent="0.3">
      <c r="A126" s="1"/>
    </row>
    <row r="127" spans="1:12" x14ac:dyDescent="0.3">
      <c r="A127" s="1"/>
    </row>
    <row r="128" spans="1:12" x14ac:dyDescent="0.3">
      <c r="A128" s="1"/>
    </row>
    <row r="129" spans="1:12" x14ac:dyDescent="0.3">
      <c r="A129" s="1"/>
    </row>
    <row r="130" spans="1:12" x14ac:dyDescent="0.3">
      <c r="A130" s="1"/>
    </row>
    <row r="131" spans="1:12" x14ac:dyDescent="0.3">
      <c r="A131" s="1"/>
      <c r="G131">
        <v>0.05</v>
      </c>
      <c r="H131">
        <v>3458.144323</v>
      </c>
      <c r="K131">
        <v>0.05</v>
      </c>
      <c r="L131">
        <v>3228.6213200000002</v>
      </c>
    </row>
    <row r="132" spans="1:12" x14ac:dyDescent="0.3">
      <c r="A132" s="1"/>
    </row>
    <row r="133" spans="1:12" x14ac:dyDescent="0.3">
      <c r="A133" s="1"/>
    </row>
    <row r="134" spans="1:12" x14ac:dyDescent="0.3">
      <c r="A134" s="1"/>
    </row>
    <row r="135" spans="1:12" x14ac:dyDescent="0.3">
      <c r="A135" s="1"/>
    </row>
    <row r="136" spans="1:12" x14ac:dyDescent="0.3">
      <c r="A136" s="1"/>
    </row>
    <row r="137" spans="1:12" x14ac:dyDescent="0.3">
      <c r="A137" s="1"/>
    </row>
    <row r="138" spans="1:12" x14ac:dyDescent="0.3">
      <c r="A138" s="1"/>
    </row>
    <row r="139" spans="1:12" x14ac:dyDescent="0.3">
      <c r="A139" s="1"/>
    </row>
    <row r="140" spans="1:12" x14ac:dyDescent="0.3">
      <c r="A140" s="1"/>
    </row>
    <row r="141" spans="1:12" x14ac:dyDescent="0.3">
      <c r="A141" s="1"/>
    </row>
    <row r="142" spans="1:12" x14ac:dyDescent="0.3">
      <c r="A142" s="1"/>
    </row>
    <row r="143" spans="1:12" x14ac:dyDescent="0.3">
      <c r="A143" s="1"/>
    </row>
    <row r="144" spans="1:12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AF5D-4526-400A-A4E0-8EDAACC00A5D}">
  <dimension ref="A3:H185"/>
  <sheetViews>
    <sheetView workbookViewId="0">
      <selection activeCell="F33" sqref="F33"/>
    </sheetView>
  </sheetViews>
  <sheetFormatPr defaultColWidth="8.77734375" defaultRowHeight="14.4" x14ac:dyDescent="0.3"/>
  <cols>
    <col min="1" max="1" width="9.109375" bestFit="1" customWidth="1"/>
    <col min="4" max="4" width="16.44140625" customWidth="1"/>
    <col min="5" max="5" width="21.109375" customWidth="1"/>
    <col min="6" max="6" width="12.6640625" customWidth="1"/>
    <col min="7" max="7" width="22.44140625" customWidth="1"/>
    <col min="8" max="8" width="17.44140625" customWidth="1"/>
  </cols>
  <sheetData>
    <row r="3" spans="1:8" x14ac:dyDescent="0.3">
      <c r="A3" s="2" t="s">
        <v>16</v>
      </c>
      <c r="B3" s="2" t="s">
        <v>1</v>
      </c>
      <c r="C3" s="2" t="s">
        <v>2</v>
      </c>
      <c r="D3" s="2" t="s">
        <v>17</v>
      </c>
    </row>
    <row r="4" spans="1:8" x14ac:dyDescent="0.3">
      <c r="A4" s="4">
        <v>40179</v>
      </c>
      <c r="B4" s="5">
        <v>1</v>
      </c>
      <c r="C4" s="5" t="s">
        <v>3</v>
      </c>
      <c r="D4" s="6">
        <v>30481</v>
      </c>
      <c r="E4" s="43" t="s">
        <v>50</v>
      </c>
      <c r="F4" s="44">
        <f>SLOPE(D4:D111,B4:B111)</f>
        <v>206.86662951213239</v>
      </c>
    </row>
    <row r="5" spans="1:8" x14ac:dyDescent="0.3">
      <c r="A5" s="4">
        <v>40210</v>
      </c>
      <c r="B5" s="5">
        <v>2</v>
      </c>
      <c r="C5" s="5" t="s">
        <v>4</v>
      </c>
      <c r="D5" s="6">
        <v>30076</v>
      </c>
      <c r="E5" s="44" t="s">
        <v>51</v>
      </c>
      <c r="F5" s="44">
        <f>INTERCEPT(D4:D111,B4:B111)</f>
        <v>30910.166839736929</v>
      </c>
    </row>
    <row r="6" spans="1:8" x14ac:dyDescent="0.3">
      <c r="A6" s="4">
        <v>40238</v>
      </c>
      <c r="B6" s="5">
        <v>3</v>
      </c>
      <c r="C6" s="5" t="s">
        <v>5</v>
      </c>
      <c r="D6" s="6">
        <v>33645</v>
      </c>
    </row>
    <row r="7" spans="1:8" x14ac:dyDescent="0.3">
      <c r="A7" s="4">
        <v>40269</v>
      </c>
      <c r="B7" s="5">
        <v>4</v>
      </c>
      <c r="C7" s="5" t="s">
        <v>6</v>
      </c>
      <c r="D7" s="6">
        <v>33287</v>
      </c>
    </row>
    <row r="8" spans="1:8" x14ac:dyDescent="0.3">
      <c r="A8" s="4">
        <v>40299</v>
      </c>
      <c r="B8" s="5">
        <v>5</v>
      </c>
      <c r="C8" s="5" t="s">
        <v>7</v>
      </c>
      <c r="D8" s="6">
        <v>34623</v>
      </c>
    </row>
    <row r="9" spans="1:8" x14ac:dyDescent="0.3">
      <c r="A9" s="4">
        <v>40330</v>
      </c>
      <c r="B9" s="5">
        <v>6</v>
      </c>
      <c r="C9" s="5" t="s">
        <v>8</v>
      </c>
      <c r="D9" s="6">
        <v>33595</v>
      </c>
    </row>
    <row r="10" spans="1:8" x14ac:dyDescent="0.3">
      <c r="A10" s="4">
        <v>40360</v>
      </c>
      <c r="B10" s="5">
        <v>7</v>
      </c>
      <c r="C10" s="5" t="s">
        <v>9</v>
      </c>
      <c r="D10" s="6">
        <v>35062</v>
      </c>
    </row>
    <row r="11" spans="1:8" x14ac:dyDescent="0.3">
      <c r="A11" s="4">
        <v>40391</v>
      </c>
      <c r="B11" s="5">
        <v>8</v>
      </c>
      <c r="C11" s="5" t="s">
        <v>10</v>
      </c>
      <c r="D11" s="6">
        <v>34358</v>
      </c>
    </row>
    <row r="12" spans="1:8" x14ac:dyDescent="0.3">
      <c r="A12" s="4">
        <v>40422</v>
      </c>
      <c r="B12" s="5">
        <v>9</v>
      </c>
      <c r="C12" s="5" t="s">
        <v>11</v>
      </c>
      <c r="D12" s="6">
        <v>31780</v>
      </c>
      <c r="F12" s="19" t="s">
        <v>37</v>
      </c>
      <c r="G12" s="19" t="s">
        <v>33</v>
      </c>
      <c r="H12" s="19" t="s">
        <v>34</v>
      </c>
    </row>
    <row r="13" spans="1:8" x14ac:dyDescent="0.3">
      <c r="A13" s="4">
        <v>40452</v>
      </c>
      <c r="B13" s="5">
        <v>10</v>
      </c>
      <c r="C13" s="5" t="s">
        <v>12</v>
      </c>
      <c r="D13" s="6">
        <v>33607</v>
      </c>
      <c r="F13" s="17">
        <f>$F$5+$F$4*B112</f>
        <v>53458.629456559356</v>
      </c>
      <c r="G13" s="39">
        <f t="shared" ref="G13:G24" si="0">ABS((D112-F13)/D112)</f>
        <v>8.1173616271804153E-2</v>
      </c>
      <c r="H13" s="18">
        <f t="shared" ref="H13:H24" si="1">(D112-F13)^2</f>
        <v>16109221.414560953</v>
      </c>
    </row>
    <row r="14" spans="1:8" x14ac:dyDescent="0.3">
      <c r="A14" s="4">
        <v>40483</v>
      </c>
      <c r="B14" s="5">
        <v>11</v>
      </c>
      <c r="C14" s="5" t="s">
        <v>13</v>
      </c>
      <c r="D14" s="6">
        <v>31563</v>
      </c>
      <c r="F14" s="17">
        <f t="shared" ref="F14:F24" si="2">$F$5+$F$4*B113</f>
        <v>53665.496086071493</v>
      </c>
      <c r="G14" s="39">
        <f t="shared" si="0"/>
        <v>9.1605225297414522E-2</v>
      </c>
      <c r="H14" s="18">
        <f t="shared" si="1"/>
        <v>20281476.997261252</v>
      </c>
    </row>
    <row r="15" spans="1:8" x14ac:dyDescent="0.3">
      <c r="A15" s="4">
        <v>40513</v>
      </c>
      <c r="B15" s="5">
        <v>12</v>
      </c>
      <c r="C15" s="5" t="s">
        <v>14</v>
      </c>
      <c r="D15" s="6">
        <v>33849</v>
      </c>
      <c r="F15" s="17">
        <f t="shared" si="2"/>
        <v>53872.362715583629</v>
      </c>
      <c r="G15" s="39">
        <f t="shared" si="0"/>
        <v>5.8669181974774956E-2</v>
      </c>
      <c r="H15" s="18">
        <f t="shared" si="1"/>
        <v>11273728.133702939</v>
      </c>
    </row>
    <row r="16" spans="1:8" x14ac:dyDescent="0.3">
      <c r="A16" s="4">
        <v>40544</v>
      </c>
      <c r="B16" s="5">
        <v>13</v>
      </c>
      <c r="C16" s="5" t="s">
        <v>3</v>
      </c>
      <c r="D16" s="6">
        <v>31763</v>
      </c>
      <c r="F16" s="17">
        <f t="shared" si="2"/>
        <v>54079.229345095751</v>
      </c>
      <c r="G16" s="39">
        <f t="shared" si="0"/>
        <v>1.1764169634417862E-2</v>
      </c>
      <c r="H16" s="18">
        <f t="shared" si="1"/>
        <v>414440.6561158452</v>
      </c>
    </row>
    <row r="17" spans="1:8" x14ac:dyDescent="0.3">
      <c r="A17" s="4">
        <v>40575</v>
      </c>
      <c r="B17" s="5">
        <v>14</v>
      </c>
      <c r="C17" s="5" t="s">
        <v>4</v>
      </c>
      <c r="D17" s="6">
        <v>31977</v>
      </c>
      <c r="F17" s="17">
        <f t="shared" si="2"/>
        <v>54286.095974607888</v>
      </c>
      <c r="G17" s="39">
        <f t="shared" si="0"/>
        <v>7.4894838625655866E-2</v>
      </c>
      <c r="H17" s="18">
        <f t="shared" si="1"/>
        <v>19315181.39240779</v>
      </c>
    </row>
    <row r="18" spans="1:8" x14ac:dyDescent="0.3">
      <c r="A18" s="4">
        <v>40603</v>
      </c>
      <c r="B18" s="5">
        <v>15</v>
      </c>
      <c r="C18" s="5" t="s">
        <v>5</v>
      </c>
      <c r="D18" s="6">
        <v>35968</v>
      </c>
      <c r="F18" s="17">
        <f t="shared" si="2"/>
        <v>54492.962604120024</v>
      </c>
      <c r="G18" s="39">
        <f t="shared" si="0"/>
        <v>5.9022247861027707E-2</v>
      </c>
      <c r="H18" s="18">
        <f t="shared" si="1"/>
        <v>11682979.639633965</v>
      </c>
    </row>
    <row r="19" spans="1:8" x14ac:dyDescent="0.3">
      <c r="A19" s="4">
        <v>40634</v>
      </c>
      <c r="B19" s="5">
        <v>16</v>
      </c>
      <c r="C19" s="5" t="s">
        <v>6</v>
      </c>
      <c r="D19" s="6">
        <v>35427</v>
      </c>
      <c r="F19" s="17">
        <f t="shared" si="2"/>
        <v>54699.829233632154</v>
      </c>
      <c r="G19" s="39">
        <f t="shared" si="0"/>
        <v>6.4256376870943044E-2</v>
      </c>
      <c r="H19" s="18">
        <f t="shared" si="1"/>
        <v>14108818.826116413</v>
      </c>
    </row>
    <row r="20" spans="1:8" x14ac:dyDescent="0.3">
      <c r="A20" s="4">
        <v>40664</v>
      </c>
      <c r="B20" s="5">
        <v>17</v>
      </c>
      <c r="C20" s="5" t="s">
        <v>7</v>
      </c>
      <c r="D20" s="6">
        <v>36626</v>
      </c>
      <c r="F20" s="17">
        <f t="shared" si="2"/>
        <v>54906.695863144283</v>
      </c>
      <c r="G20" s="39">
        <f t="shared" si="0"/>
        <v>7.2725653772916704E-2</v>
      </c>
      <c r="H20" s="18">
        <f t="shared" si="1"/>
        <v>18544255.319100663</v>
      </c>
    </row>
    <row r="21" spans="1:8" x14ac:dyDescent="0.3">
      <c r="A21" s="4">
        <v>40695</v>
      </c>
      <c r="B21" s="5">
        <v>18</v>
      </c>
      <c r="C21" s="5" t="s">
        <v>8</v>
      </c>
      <c r="D21" s="6">
        <v>35886</v>
      </c>
      <c r="F21" s="17">
        <f t="shared" si="2"/>
        <v>55113.56249265642</v>
      </c>
      <c r="G21" s="39">
        <f t="shared" si="0"/>
        <v>2.0678231988007105E-2</v>
      </c>
      <c r="H21" s="18">
        <f t="shared" si="1"/>
        <v>1246711.8000071172</v>
      </c>
    </row>
    <row r="22" spans="1:8" x14ac:dyDescent="0.3">
      <c r="A22" s="4">
        <v>40725</v>
      </c>
      <c r="B22" s="5">
        <v>19</v>
      </c>
      <c r="C22" s="5" t="s">
        <v>9</v>
      </c>
      <c r="D22" s="6">
        <v>37246</v>
      </c>
      <c r="F22" s="17">
        <f t="shared" si="2"/>
        <v>55320.429122168549</v>
      </c>
      <c r="G22" s="39">
        <f t="shared" si="0"/>
        <v>1.086344725059811E-2</v>
      </c>
      <c r="H22" s="18">
        <f t="shared" si="1"/>
        <v>369142.37158888002</v>
      </c>
    </row>
    <row r="23" spans="1:8" x14ac:dyDescent="0.3">
      <c r="A23" s="4">
        <v>40756</v>
      </c>
      <c r="B23" s="5">
        <v>20</v>
      </c>
      <c r="C23" s="5" t="s">
        <v>10</v>
      </c>
      <c r="D23" s="6">
        <v>36459</v>
      </c>
      <c r="F23" s="17">
        <f t="shared" si="2"/>
        <v>55527.295751680678</v>
      </c>
      <c r="G23" s="39">
        <f t="shared" si="0"/>
        <v>1.7374736651105338E-2</v>
      </c>
      <c r="H23" s="18">
        <f t="shared" si="1"/>
        <v>899264.83265562251</v>
      </c>
    </row>
    <row r="24" spans="1:8" x14ac:dyDescent="0.3">
      <c r="A24" s="4">
        <v>40787</v>
      </c>
      <c r="B24" s="5">
        <v>21</v>
      </c>
      <c r="C24" s="5" t="s">
        <v>11</v>
      </c>
      <c r="D24" s="6">
        <v>34635</v>
      </c>
      <c r="F24" s="17">
        <f t="shared" si="2"/>
        <v>55734.162381192815</v>
      </c>
      <c r="G24" s="39">
        <f t="shared" si="0"/>
        <v>3.8966748608600638E-2</v>
      </c>
      <c r="H24" s="18">
        <f t="shared" si="1"/>
        <v>5106866.0633761287</v>
      </c>
    </row>
    <row r="25" spans="1:8" x14ac:dyDescent="0.3">
      <c r="A25" s="4">
        <v>40817</v>
      </c>
      <c r="B25" s="5">
        <v>22</v>
      </c>
      <c r="C25" s="5" t="s">
        <v>12</v>
      </c>
      <c r="D25" s="6">
        <v>35636</v>
      </c>
    </row>
    <row r="26" spans="1:8" x14ac:dyDescent="0.3">
      <c r="A26" s="4">
        <v>40848</v>
      </c>
      <c r="B26" s="5">
        <v>23</v>
      </c>
      <c r="C26" s="5" t="s">
        <v>13</v>
      </c>
      <c r="D26" s="6">
        <v>33583</v>
      </c>
      <c r="F26" s="2" t="s">
        <v>35</v>
      </c>
      <c r="G26" s="42">
        <f>AVERAGE(G13:G24)</f>
        <v>5.0166206233938831E-2</v>
      </c>
      <c r="H26" s="8">
        <f>SQRT(AVERAGE(H13:H24))</f>
        <v>3153.7291080894429</v>
      </c>
    </row>
    <row r="27" spans="1:8" x14ac:dyDescent="0.3">
      <c r="A27" s="4">
        <v>40878</v>
      </c>
      <c r="B27" s="5">
        <v>24</v>
      </c>
      <c r="C27" s="5" t="s">
        <v>14</v>
      </c>
      <c r="D27" s="6">
        <v>36789</v>
      </c>
    </row>
    <row r="28" spans="1:8" x14ac:dyDescent="0.3">
      <c r="A28" s="4">
        <v>40909</v>
      </c>
      <c r="B28" s="5">
        <v>25</v>
      </c>
      <c r="C28" s="5" t="s">
        <v>3</v>
      </c>
      <c r="D28" s="6">
        <v>34091</v>
      </c>
    </row>
    <row r="29" spans="1:8" x14ac:dyDescent="0.3">
      <c r="A29" s="4">
        <v>40940</v>
      </c>
      <c r="B29" s="5">
        <v>26</v>
      </c>
      <c r="C29" s="5" t="s">
        <v>4</v>
      </c>
      <c r="D29" s="6">
        <v>35042</v>
      </c>
    </row>
    <row r="30" spans="1:8" x14ac:dyDescent="0.3">
      <c r="A30" s="4">
        <v>40969</v>
      </c>
      <c r="B30" s="5">
        <v>27</v>
      </c>
      <c r="C30" s="5" t="s">
        <v>5</v>
      </c>
      <c r="D30" s="6">
        <v>39045</v>
      </c>
      <c r="G30">
        <v>0.05</v>
      </c>
      <c r="H30">
        <v>3153.729108</v>
      </c>
    </row>
    <row r="31" spans="1:8" x14ac:dyDescent="0.3">
      <c r="A31" s="4">
        <v>41000</v>
      </c>
      <c r="B31" s="5">
        <v>28</v>
      </c>
      <c r="C31" s="5" t="s">
        <v>6</v>
      </c>
      <c r="D31" s="6">
        <v>37143</v>
      </c>
    </row>
    <row r="32" spans="1:8" x14ac:dyDescent="0.3">
      <c r="A32" s="4">
        <v>41030</v>
      </c>
      <c r="B32" s="5">
        <v>29</v>
      </c>
      <c r="C32" s="5" t="s">
        <v>7</v>
      </c>
      <c r="D32" s="6">
        <v>38591</v>
      </c>
    </row>
    <row r="33" spans="1:4" x14ac:dyDescent="0.3">
      <c r="A33" s="4">
        <v>41061</v>
      </c>
      <c r="B33" s="5">
        <v>30</v>
      </c>
      <c r="C33" s="5" t="s">
        <v>8</v>
      </c>
      <c r="D33" s="6">
        <v>38401</v>
      </c>
    </row>
    <row r="34" spans="1:4" x14ac:dyDescent="0.3">
      <c r="A34" s="4">
        <v>41091</v>
      </c>
      <c r="B34" s="5">
        <v>31</v>
      </c>
      <c r="C34" s="5" t="s">
        <v>9</v>
      </c>
      <c r="D34" s="6">
        <v>38488</v>
      </c>
    </row>
    <row r="35" spans="1:4" x14ac:dyDescent="0.3">
      <c r="A35" s="4">
        <v>41122</v>
      </c>
      <c r="B35" s="5">
        <v>32</v>
      </c>
      <c r="C35" s="5" t="s">
        <v>10</v>
      </c>
      <c r="D35" s="6">
        <v>38611</v>
      </c>
    </row>
    <row r="36" spans="1:4" x14ac:dyDescent="0.3">
      <c r="A36" s="4">
        <v>41153</v>
      </c>
      <c r="B36" s="5">
        <v>33</v>
      </c>
      <c r="C36" s="5" t="s">
        <v>11</v>
      </c>
      <c r="D36" s="6">
        <v>36080</v>
      </c>
    </row>
    <row r="37" spans="1:4" x14ac:dyDescent="0.3">
      <c r="A37" s="4">
        <v>41183</v>
      </c>
      <c r="B37" s="5">
        <v>34</v>
      </c>
      <c r="C37" s="5" t="s">
        <v>12</v>
      </c>
      <c r="D37" s="6">
        <v>36782</v>
      </c>
    </row>
    <row r="38" spans="1:4" x14ac:dyDescent="0.3">
      <c r="A38" s="4">
        <v>41214</v>
      </c>
      <c r="B38" s="5">
        <v>35</v>
      </c>
      <c r="C38" s="5" t="s">
        <v>13</v>
      </c>
      <c r="D38" s="6">
        <v>36087</v>
      </c>
    </row>
    <row r="39" spans="1:4" x14ac:dyDescent="0.3">
      <c r="A39" s="4">
        <v>41244</v>
      </c>
      <c r="B39" s="5">
        <v>36</v>
      </c>
      <c r="C39" s="5" t="s">
        <v>14</v>
      </c>
      <c r="D39" s="6">
        <v>38982</v>
      </c>
    </row>
    <row r="40" spans="1:4" x14ac:dyDescent="0.3">
      <c r="A40" s="4">
        <v>41275</v>
      </c>
      <c r="B40" s="5">
        <v>37</v>
      </c>
      <c r="C40" s="5" t="s">
        <v>3</v>
      </c>
      <c r="D40" s="6">
        <v>36033</v>
      </c>
    </row>
    <row r="41" spans="1:4" x14ac:dyDescent="0.3">
      <c r="A41" s="4">
        <v>41306</v>
      </c>
      <c r="B41" s="5">
        <v>38</v>
      </c>
      <c r="C41" s="5" t="s">
        <v>4</v>
      </c>
      <c r="D41" s="6">
        <v>35608</v>
      </c>
    </row>
    <row r="42" spans="1:4" x14ac:dyDescent="0.3">
      <c r="A42" s="4">
        <v>41334</v>
      </c>
      <c r="B42" s="5">
        <v>39</v>
      </c>
      <c r="C42" s="5" t="s">
        <v>5</v>
      </c>
      <c r="D42" s="6">
        <v>40955</v>
      </c>
    </row>
    <row r="43" spans="1:4" x14ac:dyDescent="0.3">
      <c r="A43" s="4">
        <v>41365</v>
      </c>
      <c r="B43" s="5">
        <v>40</v>
      </c>
      <c r="C43" s="5" t="s">
        <v>6</v>
      </c>
      <c r="D43" s="6">
        <v>38810</v>
      </c>
    </row>
    <row r="44" spans="1:4" x14ac:dyDescent="0.3">
      <c r="A44" s="4">
        <v>41395</v>
      </c>
      <c r="B44" s="5">
        <v>41</v>
      </c>
      <c r="C44" s="5" t="s">
        <v>7</v>
      </c>
      <c r="D44" s="6">
        <v>40685</v>
      </c>
    </row>
    <row r="45" spans="1:4" x14ac:dyDescent="0.3">
      <c r="A45" s="4">
        <v>41426</v>
      </c>
      <c r="B45" s="5">
        <v>42</v>
      </c>
      <c r="C45" s="5" t="s">
        <v>8</v>
      </c>
      <c r="D45" s="6">
        <v>39421</v>
      </c>
    </row>
    <row r="46" spans="1:4" x14ac:dyDescent="0.3">
      <c r="A46" s="4">
        <v>41456</v>
      </c>
      <c r="B46" s="5">
        <v>43</v>
      </c>
      <c r="C46" s="5" t="s">
        <v>9</v>
      </c>
      <c r="D46" s="6">
        <v>39610</v>
      </c>
    </row>
    <row r="47" spans="1:4" x14ac:dyDescent="0.3">
      <c r="A47" s="4">
        <v>41487</v>
      </c>
      <c r="B47" s="5">
        <v>44</v>
      </c>
      <c r="C47" s="5" t="s">
        <v>10</v>
      </c>
      <c r="D47" s="6">
        <v>34314</v>
      </c>
    </row>
    <row r="48" spans="1:4" x14ac:dyDescent="0.3">
      <c r="A48" s="4">
        <v>41518</v>
      </c>
      <c r="B48" s="5">
        <v>45</v>
      </c>
      <c r="C48" s="5" t="s">
        <v>11</v>
      </c>
      <c r="D48" s="6">
        <v>36907</v>
      </c>
    </row>
    <row r="49" spans="1:4" x14ac:dyDescent="0.3">
      <c r="A49" s="4">
        <v>41548</v>
      </c>
      <c r="B49" s="5">
        <v>46</v>
      </c>
      <c r="C49" s="5" t="s">
        <v>12</v>
      </c>
      <c r="D49" s="6">
        <v>38790</v>
      </c>
    </row>
    <row r="50" spans="1:4" x14ac:dyDescent="0.3">
      <c r="A50" s="4">
        <v>41579</v>
      </c>
      <c r="B50" s="5">
        <v>47</v>
      </c>
      <c r="C50" s="5" t="s">
        <v>13</v>
      </c>
      <c r="D50" s="6">
        <v>38475</v>
      </c>
    </row>
    <row r="51" spans="1:4" x14ac:dyDescent="0.3">
      <c r="A51" s="4">
        <v>41609</v>
      </c>
      <c r="B51" s="5">
        <v>48</v>
      </c>
      <c r="C51" s="5" t="s">
        <v>14</v>
      </c>
      <c r="D51" s="6">
        <v>40147</v>
      </c>
    </row>
    <row r="52" spans="1:4" x14ac:dyDescent="0.3">
      <c r="A52" s="4">
        <v>41640</v>
      </c>
      <c r="B52" s="5">
        <v>49</v>
      </c>
      <c r="C52" s="5" t="s">
        <v>3</v>
      </c>
      <c r="D52" s="6">
        <v>37121</v>
      </c>
    </row>
    <row r="53" spans="1:4" x14ac:dyDescent="0.3">
      <c r="A53" s="4">
        <v>41671</v>
      </c>
      <c r="B53" s="5">
        <v>50</v>
      </c>
      <c r="C53" s="5" t="s">
        <v>4</v>
      </c>
      <c r="D53" s="6">
        <v>36887</v>
      </c>
    </row>
    <row r="54" spans="1:4" x14ac:dyDescent="0.3">
      <c r="A54" s="4">
        <v>41699</v>
      </c>
      <c r="B54" s="5">
        <v>51</v>
      </c>
      <c r="C54" s="5" t="s">
        <v>5</v>
      </c>
      <c r="D54" s="6">
        <v>42689</v>
      </c>
    </row>
    <row r="55" spans="1:4" x14ac:dyDescent="0.3">
      <c r="A55" s="4">
        <v>41730</v>
      </c>
      <c r="B55" s="5">
        <v>52</v>
      </c>
      <c r="C55" s="5" t="s">
        <v>6</v>
      </c>
      <c r="D55" s="6">
        <v>40953</v>
      </c>
    </row>
    <row r="56" spans="1:4" x14ac:dyDescent="0.3">
      <c r="A56" s="4">
        <v>41760</v>
      </c>
      <c r="B56" s="5">
        <v>53</v>
      </c>
      <c r="C56" s="5" t="s">
        <v>7</v>
      </c>
      <c r="D56" s="6">
        <v>43854</v>
      </c>
    </row>
    <row r="57" spans="1:4" x14ac:dyDescent="0.3">
      <c r="A57" s="4">
        <v>41791</v>
      </c>
      <c r="B57" s="5">
        <v>54</v>
      </c>
      <c r="C57" s="5" t="s">
        <v>8</v>
      </c>
      <c r="D57" s="6">
        <v>41589</v>
      </c>
    </row>
    <row r="58" spans="1:4" x14ac:dyDescent="0.3">
      <c r="A58" s="4">
        <v>41821</v>
      </c>
      <c r="B58" s="5">
        <v>55</v>
      </c>
      <c r="C58" s="5" t="s">
        <v>9</v>
      </c>
      <c r="D58" s="6">
        <v>42450</v>
      </c>
    </row>
    <row r="59" spans="1:4" x14ac:dyDescent="0.3">
      <c r="A59" s="4">
        <v>41852</v>
      </c>
      <c r="B59" s="5">
        <v>56</v>
      </c>
      <c r="C59" s="5" t="s">
        <v>10</v>
      </c>
      <c r="D59" s="6">
        <v>43528</v>
      </c>
    </row>
    <row r="60" spans="1:4" x14ac:dyDescent="0.3">
      <c r="A60" s="4">
        <v>41883</v>
      </c>
      <c r="B60" s="5">
        <v>57</v>
      </c>
      <c r="C60" s="5" t="s">
        <v>11</v>
      </c>
      <c r="D60" s="6">
        <v>39935</v>
      </c>
    </row>
    <row r="61" spans="1:4" x14ac:dyDescent="0.3">
      <c r="A61" s="4">
        <v>41913</v>
      </c>
      <c r="B61" s="5">
        <v>58</v>
      </c>
      <c r="C61" s="5" t="s">
        <v>12</v>
      </c>
      <c r="D61" s="6">
        <v>42574</v>
      </c>
    </row>
    <row r="62" spans="1:4" x14ac:dyDescent="0.3">
      <c r="A62" s="4">
        <v>41944</v>
      </c>
      <c r="B62" s="5">
        <v>59</v>
      </c>
      <c r="C62" s="5" t="s">
        <v>13</v>
      </c>
      <c r="D62" s="6">
        <v>40864</v>
      </c>
    </row>
    <row r="63" spans="1:4" x14ac:dyDescent="0.3">
      <c r="A63" s="4">
        <v>41974</v>
      </c>
      <c r="B63" s="5">
        <v>60</v>
      </c>
      <c r="C63" s="5" t="s">
        <v>14</v>
      </c>
      <c r="D63" s="6">
        <v>44196</v>
      </c>
    </row>
    <row r="64" spans="1:4" x14ac:dyDescent="0.3">
      <c r="A64" s="4">
        <v>42005</v>
      </c>
      <c r="B64" s="5">
        <v>61</v>
      </c>
      <c r="C64" s="5" t="s">
        <v>3</v>
      </c>
      <c r="D64" s="6">
        <v>41784</v>
      </c>
    </row>
    <row r="65" spans="1:4" x14ac:dyDescent="0.3">
      <c r="A65" s="4">
        <v>42036</v>
      </c>
      <c r="B65" s="5">
        <v>62</v>
      </c>
      <c r="C65" s="5" t="s">
        <v>4</v>
      </c>
      <c r="D65" s="6">
        <v>40337</v>
      </c>
    </row>
    <row r="66" spans="1:4" x14ac:dyDescent="0.3">
      <c r="A66" s="4">
        <v>42064</v>
      </c>
      <c r="B66" s="5">
        <v>63</v>
      </c>
      <c r="C66" s="5" t="s">
        <v>5</v>
      </c>
      <c r="D66" s="6">
        <v>46307</v>
      </c>
    </row>
    <row r="67" spans="1:4" x14ac:dyDescent="0.3">
      <c r="A67" s="4">
        <v>42095</v>
      </c>
      <c r="B67" s="5">
        <v>64</v>
      </c>
      <c r="C67" s="5" t="s">
        <v>6</v>
      </c>
      <c r="D67" s="6">
        <v>45094</v>
      </c>
    </row>
    <row r="68" spans="1:4" x14ac:dyDescent="0.3">
      <c r="A68" s="4">
        <v>42125</v>
      </c>
      <c r="B68" s="5">
        <v>65</v>
      </c>
      <c r="C68" s="5" t="s">
        <v>7</v>
      </c>
      <c r="D68" s="6">
        <v>48077</v>
      </c>
    </row>
    <row r="69" spans="1:4" x14ac:dyDescent="0.3">
      <c r="A69" s="4">
        <v>42156</v>
      </c>
      <c r="B69" s="5">
        <v>66</v>
      </c>
      <c r="C69" s="5" t="s">
        <v>8</v>
      </c>
      <c r="D69" s="6">
        <v>45461</v>
      </c>
    </row>
    <row r="70" spans="1:4" x14ac:dyDescent="0.3">
      <c r="A70" s="4">
        <v>42186</v>
      </c>
      <c r="B70" s="5">
        <v>67</v>
      </c>
      <c r="C70" s="5" t="s">
        <v>9</v>
      </c>
      <c r="D70" s="6">
        <v>46408</v>
      </c>
    </row>
    <row r="71" spans="1:4" x14ac:dyDescent="0.3">
      <c r="A71" s="4">
        <v>42217</v>
      </c>
      <c r="B71" s="5">
        <v>68</v>
      </c>
      <c r="C71" s="5" t="s">
        <v>10</v>
      </c>
      <c r="D71" s="6">
        <v>46225</v>
      </c>
    </row>
    <row r="72" spans="1:4" x14ac:dyDescent="0.3">
      <c r="A72" s="4">
        <v>42248</v>
      </c>
      <c r="B72" s="5">
        <v>69</v>
      </c>
      <c r="C72" s="5" t="s">
        <v>11</v>
      </c>
      <c r="D72" s="6">
        <v>43024</v>
      </c>
    </row>
    <row r="73" spans="1:4" x14ac:dyDescent="0.3">
      <c r="A73" s="4">
        <v>42278</v>
      </c>
      <c r="B73" s="5">
        <v>70</v>
      </c>
      <c r="C73" s="5" t="s">
        <v>12</v>
      </c>
      <c r="D73" s="6">
        <v>45883</v>
      </c>
    </row>
    <row r="74" spans="1:4" x14ac:dyDescent="0.3">
      <c r="A74" s="4">
        <v>42309</v>
      </c>
      <c r="B74" s="5">
        <v>71</v>
      </c>
      <c r="C74" s="5" t="s">
        <v>13</v>
      </c>
      <c r="D74" s="6">
        <v>43128</v>
      </c>
    </row>
    <row r="75" spans="1:4" x14ac:dyDescent="0.3">
      <c r="A75" s="4">
        <v>42339</v>
      </c>
      <c r="B75" s="5">
        <v>72</v>
      </c>
      <c r="C75" s="5" t="s">
        <v>14</v>
      </c>
      <c r="D75" s="6">
        <v>47365</v>
      </c>
    </row>
    <row r="76" spans="1:4" x14ac:dyDescent="0.3">
      <c r="A76" s="4">
        <v>42370</v>
      </c>
      <c r="B76" s="5">
        <v>73</v>
      </c>
      <c r="C76" s="5" t="s">
        <v>3</v>
      </c>
      <c r="D76" s="6">
        <v>43571</v>
      </c>
    </row>
    <row r="77" spans="1:4" x14ac:dyDescent="0.3">
      <c r="A77" s="4">
        <v>42401</v>
      </c>
      <c r="B77" s="5">
        <v>74</v>
      </c>
      <c r="C77" s="5" t="s">
        <v>4</v>
      </c>
      <c r="D77" s="6">
        <v>44624</v>
      </c>
    </row>
    <row r="78" spans="1:4" x14ac:dyDescent="0.3">
      <c r="A78" s="4">
        <v>42430</v>
      </c>
      <c r="B78" s="5">
        <v>75</v>
      </c>
      <c r="C78" s="5" t="s">
        <v>5</v>
      </c>
      <c r="D78" s="6">
        <v>48553</v>
      </c>
    </row>
    <row r="79" spans="1:4" x14ac:dyDescent="0.3">
      <c r="A79" s="4">
        <v>42461</v>
      </c>
      <c r="B79" s="5">
        <v>76</v>
      </c>
      <c r="C79" s="5" t="s">
        <v>6</v>
      </c>
      <c r="D79" s="6">
        <v>48373</v>
      </c>
    </row>
    <row r="80" spans="1:4" x14ac:dyDescent="0.3">
      <c r="A80" s="4">
        <v>42491</v>
      </c>
      <c r="B80" s="5">
        <v>77</v>
      </c>
      <c r="C80" s="5" t="s">
        <v>7</v>
      </c>
      <c r="D80" s="6">
        <v>49117</v>
      </c>
    </row>
    <row r="81" spans="1:4" x14ac:dyDescent="0.3">
      <c r="A81" s="4">
        <v>42522</v>
      </c>
      <c r="B81" s="5">
        <v>78</v>
      </c>
      <c r="C81" s="5" t="s">
        <v>8</v>
      </c>
      <c r="D81" s="6">
        <v>47334</v>
      </c>
    </row>
    <row r="82" spans="1:4" x14ac:dyDescent="0.3">
      <c r="A82" s="4">
        <v>42552</v>
      </c>
      <c r="B82" s="5">
        <v>79</v>
      </c>
      <c r="C82" s="5" t="s">
        <v>9</v>
      </c>
      <c r="D82" s="6">
        <v>48817</v>
      </c>
    </row>
    <row r="83" spans="1:4" x14ac:dyDescent="0.3">
      <c r="A83" s="4">
        <v>42583</v>
      </c>
      <c r="B83" s="5">
        <v>80</v>
      </c>
      <c r="C83" s="5" t="s">
        <v>10</v>
      </c>
      <c r="D83" s="6">
        <v>47920</v>
      </c>
    </row>
    <row r="84" spans="1:4" x14ac:dyDescent="0.3">
      <c r="A84" s="4">
        <v>42614</v>
      </c>
      <c r="B84" s="5">
        <v>81</v>
      </c>
      <c r="C84" s="5" t="s">
        <v>11</v>
      </c>
      <c r="D84" s="6">
        <v>45692</v>
      </c>
    </row>
    <row r="85" spans="1:4" x14ac:dyDescent="0.3">
      <c r="A85" s="4">
        <v>42644</v>
      </c>
      <c r="B85" s="5">
        <v>82</v>
      </c>
      <c r="C85" s="5" t="s">
        <v>12</v>
      </c>
      <c r="D85" s="6">
        <v>47270</v>
      </c>
    </row>
    <row r="86" spans="1:4" x14ac:dyDescent="0.3">
      <c r="A86" s="4">
        <v>42675</v>
      </c>
      <c r="B86" s="5">
        <v>83</v>
      </c>
      <c r="C86" s="5" t="s">
        <v>13</v>
      </c>
      <c r="D86" s="6">
        <v>45581</v>
      </c>
    </row>
    <row r="87" spans="1:4" x14ac:dyDescent="0.3">
      <c r="A87" s="4">
        <v>42705</v>
      </c>
      <c r="B87" s="5">
        <v>84</v>
      </c>
      <c r="C87" s="5" t="s">
        <v>14</v>
      </c>
      <c r="D87" s="6">
        <v>49559</v>
      </c>
    </row>
    <row r="88" spans="1:4" x14ac:dyDescent="0.3">
      <c r="A88" s="4">
        <v>42736</v>
      </c>
      <c r="B88" s="5">
        <v>85</v>
      </c>
      <c r="C88" s="5" t="s">
        <v>3</v>
      </c>
      <c r="D88" s="6">
        <v>45897</v>
      </c>
    </row>
    <row r="89" spans="1:4" x14ac:dyDescent="0.3">
      <c r="A89" s="4">
        <v>42767</v>
      </c>
      <c r="B89" s="5">
        <v>86</v>
      </c>
      <c r="C89" s="5" t="s">
        <v>4</v>
      </c>
      <c r="D89" s="6">
        <v>45364</v>
      </c>
    </row>
    <row r="90" spans="1:4" x14ac:dyDescent="0.3">
      <c r="A90" s="4">
        <v>42795</v>
      </c>
      <c r="B90" s="5">
        <v>87</v>
      </c>
      <c r="C90" s="5" t="s">
        <v>5</v>
      </c>
      <c r="D90" s="6">
        <v>51845</v>
      </c>
    </row>
    <row r="91" spans="1:4" x14ac:dyDescent="0.3">
      <c r="A91" s="4">
        <v>42826</v>
      </c>
      <c r="B91" s="5">
        <v>88</v>
      </c>
      <c r="C91" s="5" t="s">
        <v>6</v>
      </c>
      <c r="D91" s="6">
        <v>50245</v>
      </c>
    </row>
    <row r="92" spans="1:4" x14ac:dyDescent="0.3">
      <c r="A92" s="4">
        <v>42856</v>
      </c>
      <c r="B92" s="5">
        <v>89</v>
      </c>
      <c r="C92" s="5" t="s">
        <v>7</v>
      </c>
      <c r="D92" s="6">
        <v>51829</v>
      </c>
    </row>
    <row r="93" spans="1:4" x14ac:dyDescent="0.3">
      <c r="A93" s="4">
        <v>42887</v>
      </c>
      <c r="B93" s="5">
        <v>90</v>
      </c>
      <c r="C93" s="5" t="s">
        <v>8</v>
      </c>
      <c r="D93" s="6">
        <v>51013</v>
      </c>
    </row>
    <row r="94" spans="1:4" x14ac:dyDescent="0.3">
      <c r="A94" s="4">
        <v>42917</v>
      </c>
      <c r="B94" s="5">
        <v>91</v>
      </c>
      <c r="C94" s="5" t="s">
        <v>9</v>
      </c>
      <c r="D94" s="6">
        <v>51173</v>
      </c>
    </row>
    <row r="95" spans="1:4" x14ac:dyDescent="0.3">
      <c r="A95" s="4">
        <v>42948</v>
      </c>
      <c r="B95" s="5">
        <v>92</v>
      </c>
      <c r="C95" s="5" t="s">
        <v>10</v>
      </c>
      <c r="D95" s="6">
        <v>50943</v>
      </c>
    </row>
    <row r="96" spans="1:4" x14ac:dyDescent="0.3">
      <c r="A96" s="4">
        <v>42979</v>
      </c>
      <c r="B96" s="5">
        <v>93</v>
      </c>
      <c r="C96" s="5" t="s">
        <v>11</v>
      </c>
      <c r="D96" s="6">
        <v>48447</v>
      </c>
    </row>
    <row r="97" spans="1:4" x14ac:dyDescent="0.3">
      <c r="A97" s="4">
        <v>43009</v>
      </c>
      <c r="B97" s="5">
        <v>94</v>
      </c>
      <c r="C97" s="5" t="s">
        <v>12</v>
      </c>
      <c r="D97" s="6">
        <v>49408</v>
      </c>
    </row>
    <row r="98" spans="1:4" x14ac:dyDescent="0.3">
      <c r="A98" s="4">
        <v>43040</v>
      </c>
      <c r="B98" s="5">
        <v>95</v>
      </c>
      <c r="C98" s="5" t="s">
        <v>13</v>
      </c>
      <c r="D98" s="6">
        <v>47580</v>
      </c>
    </row>
    <row r="99" spans="1:4" x14ac:dyDescent="0.3">
      <c r="A99" s="4">
        <v>43070</v>
      </c>
      <c r="B99" s="5">
        <v>96</v>
      </c>
      <c r="C99" s="5" t="s">
        <v>14</v>
      </c>
      <c r="D99" s="6">
        <v>53037</v>
      </c>
    </row>
    <row r="100" spans="1:4" x14ac:dyDescent="0.3">
      <c r="A100" s="4">
        <v>43101</v>
      </c>
      <c r="B100" s="5">
        <v>97</v>
      </c>
      <c r="C100" s="5" t="s">
        <v>3</v>
      </c>
      <c r="D100" s="6">
        <v>47333</v>
      </c>
    </row>
    <row r="101" spans="1:4" x14ac:dyDescent="0.3">
      <c r="A101" s="4">
        <v>43132</v>
      </c>
      <c r="B101" s="5">
        <v>98</v>
      </c>
      <c r="C101" s="5" t="s">
        <v>4</v>
      </c>
      <c r="D101" s="6">
        <v>47095</v>
      </c>
    </row>
    <row r="102" spans="1:4" x14ac:dyDescent="0.3">
      <c r="A102" s="4">
        <v>43160</v>
      </c>
      <c r="B102" s="5">
        <v>99</v>
      </c>
      <c r="C102" s="5" t="s">
        <v>5</v>
      </c>
      <c r="D102" s="6">
        <v>54782</v>
      </c>
    </row>
    <row r="103" spans="1:4" x14ac:dyDescent="0.3">
      <c r="A103" s="4">
        <v>43191</v>
      </c>
      <c r="B103" s="5">
        <v>100</v>
      </c>
      <c r="C103" s="5" t="s">
        <v>6</v>
      </c>
      <c r="D103" s="6">
        <v>51700</v>
      </c>
    </row>
    <row r="104" spans="1:4" x14ac:dyDescent="0.3">
      <c r="A104" s="4">
        <v>43221</v>
      </c>
      <c r="B104" s="5">
        <v>101</v>
      </c>
      <c r="C104" s="5" t="s">
        <v>7</v>
      </c>
      <c r="D104" s="6">
        <v>55395</v>
      </c>
    </row>
    <row r="105" spans="1:4" x14ac:dyDescent="0.3">
      <c r="A105" s="4">
        <v>43252</v>
      </c>
      <c r="B105" s="5">
        <v>102</v>
      </c>
      <c r="C105" s="5" t="s">
        <v>8</v>
      </c>
      <c r="D105" s="6">
        <v>55556</v>
      </c>
    </row>
    <row r="106" spans="1:4" x14ac:dyDescent="0.3">
      <c r="A106" s="4">
        <v>43282</v>
      </c>
      <c r="B106" s="5">
        <v>103</v>
      </c>
      <c r="C106" s="5" t="s">
        <v>9</v>
      </c>
      <c r="D106" s="6">
        <v>55840</v>
      </c>
    </row>
    <row r="107" spans="1:4" x14ac:dyDescent="0.3">
      <c r="A107" s="4">
        <v>43313</v>
      </c>
      <c r="B107" s="5">
        <v>104</v>
      </c>
      <c r="C107" s="5" t="s">
        <v>10</v>
      </c>
      <c r="D107" s="6">
        <v>56029</v>
      </c>
    </row>
    <row r="108" spans="1:4" x14ac:dyDescent="0.3">
      <c r="A108" s="4">
        <v>43344</v>
      </c>
      <c r="B108" s="5">
        <v>105</v>
      </c>
      <c r="C108" s="5" t="s">
        <v>11</v>
      </c>
      <c r="D108" s="6">
        <v>50923</v>
      </c>
    </row>
    <row r="109" spans="1:4" x14ac:dyDescent="0.3">
      <c r="A109" s="4">
        <v>43374</v>
      </c>
      <c r="B109" s="5">
        <v>106</v>
      </c>
      <c r="C109" s="5" t="s">
        <v>12</v>
      </c>
      <c r="D109" s="6">
        <v>52322</v>
      </c>
    </row>
    <row r="110" spans="1:4" x14ac:dyDescent="0.3">
      <c r="A110" s="4">
        <v>43405</v>
      </c>
      <c r="B110" s="5">
        <v>107</v>
      </c>
      <c r="C110" s="5" t="s">
        <v>13</v>
      </c>
      <c r="D110" s="6">
        <v>50429</v>
      </c>
    </row>
    <row r="111" spans="1:4" x14ac:dyDescent="0.3">
      <c r="A111" s="4">
        <v>43435</v>
      </c>
      <c r="B111" s="5">
        <v>108</v>
      </c>
      <c r="C111" s="5" t="s">
        <v>14</v>
      </c>
      <c r="D111" s="6">
        <v>54567</v>
      </c>
    </row>
    <row r="112" spans="1:4" x14ac:dyDescent="0.3">
      <c r="A112" s="4">
        <v>43466</v>
      </c>
      <c r="B112" s="5">
        <v>109</v>
      </c>
      <c r="C112" s="5" t="s">
        <v>3</v>
      </c>
      <c r="D112" s="6">
        <v>49445</v>
      </c>
    </row>
    <row r="113" spans="1:4" x14ac:dyDescent="0.3">
      <c r="A113" s="4">
        <v>43497</v>
      </c>
      <c r="B113" s="5">
        <v>110</v>
      </c>
      <c r="C113" s="5" t="s">
        <v>4</v>
      </c>
      <c r="D113" s="6">
        <v>49162</v>
      </c>
    </row>
    <row r="114" spans="1:4" x14ac:dyDescent="0.3">
      <c r="A114" s="4">
        <v>43525</v>
      </c>
      <c r="B114" s="5">
        <v>111</v>
      </c>
      <c r="C114" s="5" t="s">
        <v>5</v>
      </c>
      <c r="D114" s="6">
        <v>57230</v>
      </c>
    </row>
    <row r="115" spans="1:4" x14ac:dyDescent="0.3">
      <c r="A115" s="4">
        <v>43556</v>
      </c>
      <c r="B115" s="5">
        <v>112</v>
      </c>
      <c r="C115" s="5" t="s">
        <v>6</v>
      </c>
      <c r="D115" s="6">
        <v>54723</v>
      </c>
    </row>
    <row r="116" spans="1:4" x14ac:dyDescent="0.3">
      <c r="A116" s="4">
        <v>43586</v>
      </c>
      <c r="B116" s="5">
        <v>113</v>
      </c>
      <c r="C116" s="5" t="s">
        <v>7</v>
      </c>
      <c r="D116" s="6">
        <v>58681</v>
      </c>
    </row>
    <row r="117" spans="1:4" x14ac:dyDescent="0.3">
      <c r="A117" s="4">
        <v>43617</v>
      </c>
      <c r="B117" s="5">
        <v>114</v>
      </c>
      <c r="C117" s="5" t="s">
        <v>8</v>
      </c>
      <c r="D117" s="6">
        <v>57911</v>
      </c>
    </row>
    <row r="118" spans="1:4" x14ac:dyDescent="0.3">
      <c r="A118" s="4">
        <v>43647</v>
      </c>
      <c r="B118" s="5">
        <v>115</v>
      </c>
      <c r="C118" s="5" t="s">
        <v>9</v>
      </c>
      <c r="D118" s="6">
        <v>58456</v>
      </c>
    </row>
    <row r="119" spans="1:4" x14ac:dyDescent="0.3">
      <c r="A119" s="4">
        <v>43678</v>
      </c>
      <c r="B119" s="5">
        <v>116</v>
      </c>
      <c r="C119" s="5" t="s">
        <v>10</v>
      </c>
      <c r="D119" s="6">
        <v>59213</v>
      </c>
    </row>
    <row r="120" spans="1:4" x14ac:dyDescent="0.3">
      <c r="A120" s="4">
        <v>43709</v>
      </c>
      <c r="B120" s="5">
        <v>117</v>
      </c>
      <c r="C120" s="5" t="s">
        <v>11</v>
      </c>
      <c r="D120" s="6">
        <v>53997</v>
      </c>
    </row>
    <row r="121" spans="1:4" x14ac:dyDescent="0.3">
      <c r="A121" s="4">
        <v>43739</v>
      </c>
      <c r="B121" s="5">
        <v>118</v>
      </c>
      <c r="C121" s="5" t="s">
        <v>12</v>
      </c>
      <c r="D121" s="6">
        <v>55928</v>
      </c>
    </row>
    <row r="122" spans="1:4" x14ac:dyDescent="0.3">
      <c r="A122" s="4">
        <v>43770</v>
      </c>
      <c r="B122" s="5">
        <v>119</v>
      </c>
      <c r="C122" s="5" t="s">
        <v>13</v>
      </c>
      <c r="D122" s="6">
        <v>54579</v>
      </c>
    </row>
    <row r="123" spans="1:4" x14ac:dyDescent="0.3">
      <c r="A123" s="4">
        <v>43800</v>
      </c>
      <c r="B123" s="5">
        <v>120</v>
      </c>
      <c r="C123" s="5" t="s">
        <v>14</v>
      </c>
      <c r="D123" s="6">
        <v>57994</v>
      </c>
    </row>
    <row r="124" spans="1:4" x14ac:dyDescent="0.3">
      <c r="A124" s="1"/>
    </row>
    <row r="125" spans="1:4" x14ac:dyDescent="0.3">
      <c r="A125" s="1"/>
    </row>
    <row r="126" spans="1:4" x14ac:dyDescent="0.3">
      <c r="A126" s="1"/>
    </row>
    <row r="127" spans="1:4" x14ac:dyDescent="0.3">
      <c r="A127" s="1"/>
    </row>
    <row r="128" spans="1:4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5BF5-B30B-4E29-8E8B-442CA1B4A9DA}">
  <dimension ref="A1:C8"/>
  <sheetViews>
    <sheetView tabSelected="1" workbookViewId="0">
      <selection activeCell="C11" sqref="C11"/>
    </sheetView>
  </sheetViews>
  <sheetFormatPr defaultColWidth="8.77734375" defaultRowHeight="14.4" x14ac:dyDescent="0.3"/>
  <cols>
    <col min="1" max="1" width="31.44140625" customWidth="1"/>
    <col min="3" max="3" width="13" customWidth="1"/>
  </cols>
  <sheetData>
    <row r="1" spans="1:3" x14ac:dyDescent="0.3">
      <c r="A1" s="2" t="s">
        <v>52</v>
      </c>
      <c r="B1" s="2" t="s">
        <v>33</v>
      </c>
      <c r="C1" s="2" t="s">
        <v>34</v>
      </c>
    </row>
    <row r="2" spans="1:3" x14ac:dyDescent="0.3">
      <c r="A2" t="s">
        <v>53</v>
      </c>
      <c r="B2">
        <v>0.09</v>
      </c>
      <c r="C2">
        <v>5646.7753426999998</v>
      </c>
    </row>
    <row r="3" spans="1:3" x14ac:dyDescent="0.3">
      <c r="A3" t="s">
        <v>58</v>
      </c>
      <c r="B3">
        <v>4.7625000000000001E-2</v>
      </c>
      <c r="C3">
        <v>2992.89</v>
      </c>
    </row>
    <row r="4" spans="1:3" x14ac:dyDescent="0.3">
      <c r="A4" t="s">
        <v>46</v>
      </c>
      <c r="B4">
        <v>0.05</v>
      </c>
      <c r="C4">
        <v>3458.144323</v>
      </c>
    </row>
    <row r="5" spans="1:3" x14ac:dyDescent="0.3">
      <c r="A5" t="s">
        <v>54</v>
      </c>
      <c r="B5">
        <v>0.05</v>
      </c>
      <c r="C5">
        <v>3228.6213200000002</v>
      </c>
    </row>
    <row r="6" spans="1:3" x14ac:dyDescent="0.3">
      <c r="A6" t="s">
        <v>55</v>
      </c>
      <c r="B6">
        <v>0.05</v>
      </c>
      <c r="C6">
        <v>3153.729108</v>
      </c>
    </row>
    <row r="7" spans="1:3" x14ac:dyDescent="0.3">
      <c r="A7" t="s">
        <v>56</v>
      </c>
      <c r="B7">
        <v>7.0000000000000007E-2</v>
      </c>
      <c r="C7">
        <v>4552.9356760000001</v>
      </c>
    </row>
    <row r="8" spans="1:3" x14ac:dyDescent="0.3">
      <c r="A8" t="s">
        <v>57</v>
      </c>
      <c r="B8">
        <v>4.5880999999999998E-2</v>
      </c>
      <c r="C8">
        <v>2862.52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 Sales</vt:lpstr>
      <vt:lpstr>Exponential Forecasting</vt:lpstr>
      <vt:lpstr>Moving Average</vt:lpstr>
      <vt:lpstr>Regression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Kinley, Andrew</dc:creator>
  <cp:lastModifiedBy>Augustus Owusu-Appiah</cp:lastModifiedBy>
  <dcterms:created xsi:type="dcterms:W3CDTF">2025-05-16T17:06:05Z</dcterms:created>
  <dcterms:modified xsi:type="dcterms:W3CDTF">2026-03-08T20:29:00Z</dcterms:modified>
</cp:coreProperties>
</file>